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filterPrivacy="1" hidePivotFieldList="1"/>
  <xr:revisionPtr revIDLastSave="0" documentId="8_{55B95A16-5426-4CCF-98BF-9216DEC92021}" xr6:coauthVersionLast="34" xr6:coauthVersionMax="34" xr10:uidLastSave="{00000000-0000-0000-0000-000000000000}"/>
  <bookViews>
    <workbookView xWindow="240" yWindow="105" windowWidth="14805" windowHeight="8010" activeTab="2" xr2:uid="{00000000-000D-0000-FFFF-FFFF00000000}"/>
  </bookViews>
  <sheets>
    <sheet name="PIVOT TABLE" sheetId="4" r:id="rId1"/>
    <sheet name="DATA" sheetId="1" r:id="rId2"/>
    <sheet name="COMPLAINTS DASHBORD" sheetId="6" r:id="rId3"/>
  </sheets>
  <definedNames>
    <definedName name="NativeTimeline_Date">#N/A</definedName>
    <definedName name="Slicer_Complaint_Type">#N/A</definedName>
    <definedName name="Slicer_Date">#N/A</definedName>
    <definedName name="Slicer_Date2">#N/A</definedName>
    <definedName name="Slicer_Month">#N/A</definedName>
    <definedName name="Slicer_Week">#N/A</definedName>
  </definedNames>
  <calcPr calcId="17902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alcChain>
</file>

<file path=xl/sharedStrings.xml><?xml version="1.0" encoding="utf-8"?>
<sst xmlns="http://schemas.openxmlformats.org/spreadsheetml/2006/main" count="305" uniqueCount="31">
  <si>
    <t>Date</t>
  </si>
  <si>
    <t>Complaint Type</t>
  </si>
  <si>
    <t>Wait time</t>
  </si>
  <si>
    <t>Lab Wait</t>
  </si>
  <si>
    <t>Cost</t>
  </si>
  <si>
    <t>Hours of Operation</t>
  </si>
  <si>
    <t>Hard to get appointment</t>
  </si>
  <si>
    <t>Lack Information</t>
  </si>
  <si>
    <t>Not Treated with Respect</t>
  </si>
  <si>
    <t>Don't know who to call</t>
  </si>
  <si>
    <t>Parking Issues</t>
  </si>
  <si>
    <t>Lack of Privacy</t>
  </si>
  <si>
    <t>Appearance</t>
  </si>
  <si>
    <t xml:space="preserve">Employee </t>
  </si>
  <si>
    <t>Don’t know who to call</t>
  </si>
  <si>
    <t>Other</t>
  </si>
  <si>
    <t>Month</t>
  </si>
  <si>
    <t>Date2</t>
  </si>
  <si>
    <t>Week</t>
  </si>
  <si>
    <t>Row Labels</t>
  </si>
  <si>
    <t>Grand Total</t>
  </si>
  <si>
    <t>Count of Complaint Type</t>
  </si>
  <si>
    <t>Wednesday</t>
  </si>
  <si>
    <t>March</t>
  </si>
  <si>
    <t>January</t>
  </si>
  <si>
    <t>February</t>
  </si>
  <si>
    <t>Saturday</t>
  </si>
  <si>
    <t>Friday</t>
  </si>
  <si>
    <t>Thursday</t>
  </si>
  <si>
    <t>Tuesday</t>
  </si>
  <si>
    <t>Monday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</si>
</sst>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Trebuchet MS"/>
      <family val="2"/>
      <scheme val="minor"/>
    </font>
    <font>
      <sz val="11"/>
      <color theme="6" tint="0.39997558519241921"/>
      <name val="Trebuchet MS"/>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0" fontId="1" fillId="2" borderId="0" xfId="0" applyFont="1" applyFill="1"/>
  </cellXfs>
  <cellStyles count="1">
    <cellStyle name="Normal" xfId="0" builtinId="0"/>
  </cellStyles>
  <dxfs count="4">
    <dxf>
      <numFmt numFmtId="0" formatCode="General"/>
    </dxf>
    <dxf>
      <numFmt numFmtId="0" formatCode="General"/>
    </dxf>
    <dxf>
      <numFmt numFmtId="0" formatCode="General"/>
    </dxf>
    <dxf>
      <numFmt numFmtId="164"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[Patient_Complaints_Analysis.xLsx]PIVOT TABLE!PivotTable7</c:name>
    <c:fmtId val="1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a:t>complaints over time</a:t>
            </a:r>
          </a:p>
        </c:rich>
      </c:tx>
      <c:layout>
        <c:manualLayout>
          <c:xMode val="edge"/>
          <c:yMode val="edge"/>
          <c:x val="0.23605555555555555"/>
          <c:y val="0.11934966462525518"/>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SD"/>
        </a:p>
      </c:txPr>
    </c:title>
    <c:autoTitleDeleted val="0"/>
    <c:pivotFmts>
      <c:pivotFmt>
        <c:idx val="0"/>
        <c:spPr>
          <a:ln w="38100" cap="rnd">
            <a:solidFill>
              <a:schemeClr val="accent3"/>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TABLE'!$B$108</c:f>
              <c:strCache>
                <c:ptCount val="1"/>
                <c:pt idx="0">
                  <c:v>Total</c:v>
                </c:pt>
              </c:strCache>
            </c:strRef>
          </c:tx>
          <c:spPr>
            <a:ln w="38100" cap="rnd">
              <a:solidFill>
                <a:schemeClr val="accent3"/>
              </a:solidFill>
              <a:round/>
            </a:ln>
            <a:effectLst/>
          </c:spPr>
          <c:marker>
            <c:symbol val="circle"/>
            <c:size val="8"/>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TABLE'!$A$109:$A$115</c:f>
              <c:strCache>
                <c:ptCount val="6"/>
                <c:pt idx="0">
                  <c:v>Monday</c:v>
                </c:pt>
                <c:pt idx="1">
                  <c:v>Tuesday</c:v>
                </c:pt>
                <c:pt idx="2">
                  <c:v>Wednesday</c:v>
                </c:pt>
                <c:pt idx="3">
                  <c:v>Thursday</c:v>
                </c:pt>
                <c:pt idx="4">
                  <c:v>Friday</c:v>
                </c:pt>
                <c:pt idx="5">
                  <c:v>Saturday</c:v>
                </c:pt>
              </c:strCache>
            </c:strRef>
          </c:cat>
          <c:val>
            <c:numRef>
              <c:f>'PIVOT TABLE'!$B$109:$B$115</c:f>
              <c:numCache>
                <c:formatCode>General</c:formatCode>
                <c:ptCount val="6"/>
                <c:pt idx="0">
                  <c:v>42</c:v>
                </c:pt>
                <c:pt idx="1">
                  <c:v>59</c:v>
                </c:pt>
                <c:pt idx="2">
                  <c:v>47</c:v>
                </c:pt>
                <c:pt idx="3">
                  <c:v>58</c:v>
                </c:pt>
                <c:pt idx="4">
                  <c:v>55</c:v>
                </c:pt>
                <c:pt idx="5">
                  <c:v>1</c:v>
                </c:pt>
              </c:numCache>
            </c:numRef>
          </c:val>
          <c:smooth val="0"/>
          <c:extLst>
            <c:ext xmlns:c16="http://schemas.microsoft.com/office/drawing/2014/chart" uri="{C3380CC4-5D6E-409C-BE32-E72D297353CC}">
              <c16:uniqueId val="{00000000-8C5B-4EB1-8920-18E7512BBCFF}"/>
            </c:ext>
          </c:extLst>
        </c:ser>
        <c:dLbls>
          <c:showLegendKey val="0"/>
          <c:showVal val="0"/>
          <c:showCatName val="0"/>
          <c:showSerName val="0"/>
          <c:showPercent val="0"/>
          <c:showBubbleSize val="0"/>
        </c:dLbls>
        <c:marker val="1"/>
        <c:smooth val="0"/>
        <c:axId val="521352032"/>
        <c:axId val="521047120"/>
      </c:lineChart>
      <c:catAx>
        <c:axId val="5213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SD"/>
          </a:p>
        </c:txPr>
        <c:crossAx val="521047120"/>
        <c:crosses val="autoZero"/>
        <c:auto val="1"/>
        <c:lblAlgn val="ctr"/>
        <c:lblOffset val="100"/>
        <c:noMultiLvlLbl val="0"/>
      </c:catAx>
      <c:valAx>
        <c:axId val="5210471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crossAx val="52135203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[Patient_Complaints_Analysis.xLsx]PIVOT TABLE!PivotTable6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complaints over week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SD"/>
        </a:p>
      </c:txPr>
    </c:title>
    <c:autoTitleDeleted val="0"/>
    <c:pivotFmts>
      <c:pivotFmt>
        <c:idx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TABLE'!$B$92</c:f>
              <c:strCache>
                <c:ptCount val="1"/>
                <c:pt idx="0">
                  <c:v>Total</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TABLE'!$A$93:$A$106</c:f>
              <c:strCache>
                <c:ptCount val="13"/>
                <c:pt idx="0">
                  <c:v>2</c:v>
                </c:pt>
                <c:pt idx="1">
                  <c:v>3</c:v>
                </c:pt>
                <c:pt idx="2">
                  <c:v>4</c:v>
                </c:pt>
                <c:pt idx="3">
                  <c:v>5</c:v>
                </c:pt>
                <c:pt idx="4">
                  <c:v>6</c:v>
                </c:pt>
                <c:pt idx="5">
                  <c:v>7</c:v>
                </c:pt>
                <c:pt idx="6">
                  <c:v>8</c:v>
                </c:pt>
                <c:pt idx="7">
                  <c:v>9</c:v>
                </c:pt>
                <c:pt idx="8">
                  <c:v>10</c:v>
                </c:pt>
                <c:pt idx="9">
                  <c:v>11</c:v>
                </c:pt>
                <c:pt idx="10">
                  <c:v>12</c:v>
                </c:pt>
                <c:pt idx="11">
                  <c:v>13</c:v>
                </c:pt>
                <c:pt idx="12">
                  <c:v>14</c:v>
                </c:pt>
              </c:strCache>
            </c:strRef>
          </c:cat>
          <c:val>
            <c:numRef>
              <c:f>'PIVOT TABLE'!$B$93:$B$106</c:f>
              <c:numCache>
                <c:formatCode>General</c:formatCode>
                <c:ptCount val="13"/>
                <c:pt idx="0">
                  <c:v>28</c:v>
                </c:pt>
                <c:pt idx="1">
                  <c:v>20</c:v>
                </c:pt>
                <c:pt idx="2">
                  <c:v>11</c:v>
                </c:pt>
                <c:pt idx="3">
                  <c:v>10</c:v>
                </c:pt>
                <c:pt idx="4">
                  <c:v>18</c:v>
                </c:pt>
                <c:pt idx="5">
                  <c:v>14</c:v>
                </c:pt>
                <c:pt idx="6">
                  <c:v>7</c:v>
                </c:pt>
                <c:pt idx="7">
                  <c:v>15</c:v>
                </c:pt>
                <c:pt idx="8">
                  <c:v>23</c:v>
                </c:pt>
                <c:pt idx="9">
                  <c:v>30</c:v>
                </c:pt>
                <c:pt idx="10">
                  <c:v>26</c:v>
                </c:pt>
                <c:pt idx="11">
                  <c:v>25</c:v>
                </c:pt>
                <c:pt idx="12">
                  <c:v>35</c:v>
                </c:pt>
              </c:numCache>
            </c:numRef>
          </c:val>
          <c:extLst>
            <c:ext xmlns:c16="http://schemas.microsoft.com/office/drawing/2014/chart" uri="{C3380CC4-5D6E-409C-BE32-E72D297353CC}">
              <c16:uniqueId val="{00000000-722A-4DB3-9787-71654CC34F85}"/>
            </c:ext>
          </c:extLst>
        </c:ser>
        <c:dLbls>
          <c:showLegendKey val="0"/>
          <c:showVal val="0"/>
          <c:showCatName val="0"/>
          <c:showSerName val="0"/>
          <c:showPercent val="0"/>
          <c:showBubbleSize val="0"/>
        </c:dLbls>
        <c:gapWidth val="100"/>
        <c:overlap val="-24"/>
        <c:axId val="1527655728"/>
        <c:axId val="1527184624"/>
      </c:barChart>
      <c:catAx>
        <c:axId val="1527655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crossAx val="1527184624"/>
        <c:crosses val="autoZero"/>
        <c:auto val="1"/>
        <c:lblAlgn val="ctr"/>
        <c:lblOffset val="100"/>
        <c:noMultiLvlLbl val="0"/>
      </c:catAx>
      <c:valAx>
        <c:axId val="152718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crossAx val="152765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[Patient_Complaints_Analysis.xLsx]PIVOT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complaints over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D"/>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3">
              <a:shade val="65000"/>
            </a:schemeClr>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3">
              <a:tint val="65000"/>
            </a:schemeClr>
          </a:solidFill>
          <a:ln w="19050">
            <a:solidFill>
              <a:schemeClr val="lt1"/>
            </a:solidFill>
          </a:ln>
          <a:effectLst/>
        </c:spPr>
      </c:pivotFmt>
    </c:pivotFmts>
    <c:plotArea>
      <c:layout/>
      <c:pieChart>
        <c:varyColors val="1"/>
        <c:ser>
          <c:idx val="0"/>
          <c:order val="0"/>
          <c:tx>
            <c:strRef>
              <c:f>'PIVOT TABLE'!$B$84</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138A-454A-908F-1BA8DE0A0B7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38A-454A-908F-1BA8DE0A0B73}"/>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138A-454A-908F-1BA8DE0A0B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TABLE'!$A$85:$A$88</c:f>
              <c:strCache>
                <c:ptCount val="3"/>
                <c:pt idx="0">
                  <c:v>January</c:v>
                </c:pt>
                <c:pt idx="1">
                  <c:v>February</c:v>
                </c:pt>
                <c:pt idx="2">
                  <c:v>March</c:v>
                </c:pt>
              </c:strCache>
            </c:strRef>
          </c:cat>
          <c:val>
            <c:numRef>
              <c:f>'PIVOT TABLE'!$B$85:$B$88</c:f>
              <c:numCache>
                <c:formatCode>General</c:formatCode>
                <c:ptCount val="3"/>
                <c:pt idx="0">
                  <c:v>69</c:v>
                </c:pt>
                <c:pt idx="1">
                  <c:v>54</c:v>
                </c:pt>
                <c:pt idx="2">
                  <c:v>139</c:v>
                </c:pt>
              </c:numCache>
            </c:numRef>
          </c:val>
          <c:extLst>
            <c:ext xmlns:c16="http://schemas.microsoft.com/office/drawing/2014/chart" uri="{C3380CC4-5D6E-409C-BE32-E72D297353CC}">
              <c16:uniqueId val="{00000000-C68F-41D6-B95A-D9939F7312D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[Patient_Complaints_Analysis.xLsx]PIVOT TABLE!PivotTable1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complaint types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SD"/>
        </a:p>
      </c:txPr>
    </c:title>
    <c:autoTitleDeleted val="0"/>
    <c:pivotFmts>
      <c:pivotFmt>
        <c:idx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TABLE'!$A$4:$A$18</c:f>
              <c:strCache>
                <c:ptCount val="14"/>
                <c:pt idx="0">
                  <c:v>Appearance</c:v>
                </c:pt>
                <c:pt idx="1">
                  <c:v>Cost</c:v>
                </c:pt>
                <c:pt idx="2">
                  <c:v>Don’t know who to call</c:v>
                </c:pt>
                <c:pt idx="3">
                  <c:v>Don't know who to call</c:v>
                </c:pt>
                <c:pt idx="4">
                  <c:v>Employee </c:v>
                </c:pt>
                <c:pt idx="5">
                  <c:v>Hard to get appointment</c:v>
                </c:pt>
                <c:pt idx="6">
                  <c:v>Hours of Operation</c:v>
                </c:pt>
                <c:pt idx="7">
                  <c:v>Lab Wait</c:v>
                </c:pt>
                <c:pt idx="8">
                  <c:v>Lack Information</c:v>
                </c:pt>
                <c:pt idx="9">
                  <c:v>Lack of Privacy</c:v>
                </c:pt>
                <c:pt idx="10">
                  <c:v>Not Treated with Respect</c:v>
                </c:pt>
                <c:pt idx="11">
                  <c:v>Other</c:v>
                </c:pt>
                <c:pt idx="12">
                  <c:v>Parking Issues</c:v>
                </c:pt>
                <c:pt idx="13">
                  <c:v>Wait time</c:v>
                </c:pt>
              </c:strCache>
            </c:strRef>
          </c:cat>
          <c:val>
            <c:numRef>
              <c:f>'PIVOT TABLE'!$B$4:$B$18</c:f>
              <c:numCache>
                <c:formatCode>General</c:formatCode>
                <c:ptCount val="14"/>
                <c:pt idx="0">
                  <c:v>4</c:v>
                </c:pt>
                <c:pt idx="1">
                  <c:v>12</c:v>
                </c:pt>
                <c:pt idx="2">
                  <c:v>1</c:v>
                </c:pt>
                <c:pt idx="3">
                  <c:v>29</c:v>
                </c:pt>
                <c:pt idx="4">
                  <c:v>1</c:v>
                </c:pt>
                <c:pt idx="5">
                  <c:v>17</c:v>
                </c:pt>
                <c:pt idx="6">
                  <c:v>15</c:v>
                </c:pt>
                <c:pt idx="7">
                  <c:v>5</c:v>
                </c:pt>
                <c:pt idx="8">
                  <c:v>42</c:v>
                </c:pt>
                <c:pt idx="9">
                  <c:v>5</c:v>
                </c:pt>
                <c:pt idx="10">
                  <c:v>56</c:v>
                </c:pt>
                <c:pt idx="11">
                  <c:v>3</c:v>
                </c:pt>
                <c:pt idx="12">
                  <c:v>4</c:v>
                </c:pt>
                <c:pt idx="13">
                  <c:v>68</c:v>
                </c:pt>
              </c:numCache>
            </c:numRef>
          </c:val>
          <c:extLst>
            <c:ext xmlns:c16="http://schemas.microsoft.com/office/drawing/2014/chart" uri="{C3380CC4-5D6E-409C-BE32-E72D297353CC}">
              <c16:uniqueId val="{00000000-83E1-46E9-A75C-2D3B0B055987}"/>
            </c:ext>
          </c:extLst>
        </c:ser>
        <c:dLbls>
          <c:showLegendKey val="0"/>
          <c:showVal val="0"/>
          <c:showCatName val="0"/>
          <c:showSerName val="0"/>
          <c:showPercent val="0"/>
          <c:showBubbleSize val="0"/>
        </c:dLbls>
        <c:gapWidth val="100"/>
        <c:overlap val="-24"/>
        <c:axId val="1623654240"/>
        <c:axId val="1718446224"/>
      </c:barChart>
      <c:catAx>
        <c:axId val="1623654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crossAx val="1718446224"/>
        <c:crosses val="autoZero"/>
        <c:auto val="1"/>
        <c:lblAlgn val="ctr"/>
        <c:lblOffset val="100"/>
        <c:noMultiLvlLbl val="0"/>
      </c:catAx>
      <c:valAx>
        <c:axId val="171844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crossAx val="162365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[Patient_Complaints_Analysis.xLsx]PIVOT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complaints over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D"/>
        </a:p>
      </c:txPr>
    </c:title>
    <c:autoTitleDeleted val="0"/>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TABLE'!$A$22:$A$81</c:f>
              <c:strCache>
                <c:ptCount val="59"/>
                <c:pt idx="0">
                  <c:v>04/01/2016</c:v>
                </c:pt>
                <c:pt idx="1">
                  <c:v>05/01/2016</c:v>
                </c:pt>
                <c:pt idx="2">
                  <c:v>06/01/2016</c:v>
                </c:pt>
                <c:pt idx="3">
                  <c:v>07/01/2016</c:v>
                </c:pt>
                <c:pt idx="4">
                  <c:v>08/01/2016</c:v>
                </c:pt>
                <c:pt idx="5">
                  <c:v>11/01/2016</c:v>
                </c:pt>
                <c:pt idx="6">
                  <c:v>12/01/2016</c:v>
                </c:pt>
                <c:pt idx="7">
                  <c:v>13/01/2016</c:v>
                </c:pt>
                <c:pt idx="8">
                  <c:v>14/01/2016</c:v>
                </c:pt>
                <c:pt idx="9">
                  <c:v>15/01/2016</c:v>
                </c:pt>
                <c:pt idx="10">
                  <c:v>19/01/2016</c:v>
                </c:pt>
                <c:pt idx="11">
                  <c:v>20/01/2016</c:v>
                </c:pt>
                <c:pt idx="12">
                  <c:v>21/01/2016</c:v>
                </c:pt>
                <c:pt idx="13">
                  <c:v>22/01/2016</c:v>
                </c:pt>
                <c:pt idx="14">
                  <c:v>26/01/2016</c:v>
                </c:pt>
                <c:pt idx="15">
                  <c:v>27/01/2016</c:v>
                </c:pt>
                <c:pt idx="16">
                  <c:v>28/01/2016</c:v>
                </c:pt>
                <c:pt idx="17">
                  <c:v>01/02/2016</c:v>
                </c:pt>
                <c:pt idx="18">
                  <c:v>02/02/2016</c:v>
                </c:pt>
                <c:pt idx="19">
                  <c:v>03/02/2016</c:v>
                </c:pt>
                <c:pt idx="20">
                  <c:v>04/02/2016</c:v>
                </c:pt>
                <c:pt idx="21">
                  <c:v>05/02/2016</c:v>
                </c:pt>
                <c:pt idx="22">
                  <c:v>08/02/2016</c:v>
                </c:pt>
                <c:pt idx="23">
                  <c:v>09/02/2016</c:v>
                </c:pt>
                <c:pt idx="24">
                  <c:v>11/02/2016</c:v>
                </c:pt>
                <c:pt idx="25">
                  <c:v>12/02/2016</c:v>
                </c:pt>
                <c:pt idx="26">
                  <c:v>15/02/2016</c:v>
                </c:pt>
                <c:pt idx="27">
                  <c:v>16/02/2016</c:v>
                </c:pt>
                <c:pt idx="28">
                  <c:v>17/02/2016</c:v>
                </c:pt>
                <c:pt idx="29">
                  <c:v>18/02/2016</c:v>
                </c:pt>
                <c:pt idx="30">
                  <c:v>19/02/2016</c:v>
                </c:pt>
                <c:pt idx="31">
                  <c:v>22/02/2016</c:v>
                </c:pt>
                <c:pt idx="32">
                  <c:v>23/02/2016</c:v>
                </c:pt>
                <c:pt idx="33">
                  <c:v>24/02/2016</c:v>
                </c:pt>
                <c:pt idx="34">
                  <c:v>25/02/2016</c:v>
                </c:pt>
                <c:pt idx="35">
                  <c:v>26/02/2016</c:v>
                </c:pt>
                <c:pt idx="36">
                  <c:v>27/02/2016</c:v>
                </c:pt>
                <c:pt idx="37">
                  <c:v>01/03/2016</c:v>
                </c:pt>
                <c:pt idx="38">
                  <c:v>02/03/2016</c:v>
                </c:pt>
                <c:pt idx="39">
                  <c:v>03/03/2016</c:v>
                </c:pt>
                <c:pt idx="40">
                  <c:v>04/03/2016</c:v>
                </c:pt>
                <c:pt idx="41">
                  <c:v>07/03/2016</c:v>
                </c:pt>
                <c:pt idx="42">
                  <c:v>08/03/2016</c:v>
                </c:pt>
                <c:pt idx="43">
                  <c:v>09/03/2016</c:v>
                </c:pt>
                <c:pt idx="44">
                  <c:v>10/03/2016</c:v>
                </c:pt>
                <c:pt idx="45">
                  <c:v>11/03/2016</c:v>
                </c:pt>
                <c:pt idx="46">
                  <c:v>14/03/2016</c:v>
                </c:pt>
                <c:pt idx="47">
                  <c:v>15/03/2016</c:v>
                </c:pt>
                <c:pt idx="48">
                  <c:v>16/03/2016</c:v>
                </c:pt>
                <c:pt idx="49">
                  <c:v>17/03/2016</c:v>
                </c:pt>
                <c:pt idx="50">
                  <c:v>18/03/2016</c:v>
                </c:pt>
                <c:pt idx="51">
                  <c:v>21/03/2016</c:v>
                </c:pt>
                <c:pt idx="52">
                  <c:v>22/03/2016</c:v>
                </c:pt>
                <c:pt idx="53">
                  <c:v>23/03/2016</c:v>
                </c:pt>
                <c:pt idx="54">
                  <c:v>25/03/2016</c:v>
                </c:pt>
                <c:pt idx="55">
                  <c:v>28/03/2016</c:v>
                </c:pt>
                <c:pt idx="56">
                  <c:v>29/03/2016</c:v>
                </c:pt>
                <c:pt idx="57">
                  <c:v>30/03/2016</c:v>
                </c:pt>
                <c:pt idx="58">
                  <c:v>31/03/2016</c:v>
                </c:pt>
              </c:strCache>
            </c:strRef>
          </c:cat>
          <c:val>
            <c:numRef>
              <c:f>'PIVOT TABLE'!$B$22:$B$81</c:f>
              <c:numCache>
                <c:formatCode>General</c:formatCode>
                <c:ptCount val="59"/>
                <c:pt idx="0">
                  <c:v>4</c:v>
                </c:pt>
                <c:pt idx="1">
                  <c:v>2</c:v>
                </c:pt>
                <c:pt idx="2">
                  <c:v>4</c:v>
                </c:pt>
                <c:pt idx="3">
                  <c:v>7</c:v>
                </c:pt>
                <c:pt idx="4">
                  <c:v>11</c:v>
                </c:pt>
                <c:pt idx="5">
                  <c:v>3</c:v>
                </c:pt>
                <c:pt idx="6">
                  <c:v>6</c:v>
                </c:pt>
                <c:pt idx="7">
                  <c:v>2</c:v>
                </c:pt>
                <c:pt idx="8">
                  <c:v>4</c:v>
                </c:pt>
                <c:pt idx="9">
                  <c:v>5</c:v>
                </c:pt>
                <c:pt idx="10">
                  <c:v>2</c:v>
                </c:pt>
                <c:pt idx="11">
                  <c:v>1</c:v>
                </c:pt>
                <c:pt idx="12">
                  <c:v>3</c:v>
                </c:pt>
                <c:pt idx="13">
                  <c:v>5</c:v>
                </c:pt>
                <c:pt idx="14">
                  <c:v>5</c:v>
                </c:pt>
                <c:pt idx="15">
                  <c:v>3</c:v>
                </c:pt>
                <c:pt idx="16">
                  <c:v>2</c:v>
                </c:pt>
                <c:pt idx="17">
                  <c:v>3</c:v>
                </c:pt>
                <c:pt idx="18">
                  <c:v>3</c:v>
                </c:pt>
                <c:pt idx="19">
                  <c:v>5</c:v>
                </c:pt>
                <c:pt idx="20">
                  <c:v>1</c:v>
                </c:pt>
                <c:pt idx="21">
                  <c:v>6</c:v>
                </c:pt>
                <c:pt idx="22">
                  <c:v>3</c:v>
                </c:pt>
                <c:pt idx="23">
                  <c:v>5</c:v>
                </c:pt>
                <c:pt idx="24">
                  <c:v>4</c:v>
                </c:pt>
                <c:pt idx="25">
                  <c:v>2</c:v>
                </c:pt>
                <c:pt idx="26">
                  <c:v>1</c:v>
                </c:pt>
                <c:pt idx="27">
                  <c:v>1</c:v>
                </c:pt>
                <c:pt idx="28">
                  <c:v>3</c:v>
                </c:pt>
                <c:pt idx="29">
                  <c:v>1</c:v>
                </c:pt>
                <c:pt idx="30">
                  <c:v>1</c:v>
                </c:pt>
                <c:pt idx="31">
                  <c:v>4</c:v>
                </c:pt>
                <c:pt idx="32">
                  <c:v>1</c:v>
                </c:pt>
                <c:pt idx="33">
                  <c:v>3</c:v>
                </c:pt>
                <c:pt idx="34">
                  <c:v>4</c:v>
                </c:pt>
                <c:pt idx="35">
                  <c:v>2</c:v>
                </c:pt>
                <c:pt idx="36">
                  <c:v>1</c:v>
                </c:pt>
                <c:pt idx="37">
                  <c:v>7</c:v>
                </c:pt>
                <c:pt idx="38">
                  <c:v>3</c:v>
                </c:pt>
                <c:pt idx="39">
                  <c:v>10</c:v>
                </c:pt>
                <c:pt idx="40">
                  <c:v>3</c:v>
                </c:pt>
                <c:pt idx="41">
                  <c:v>6</c:v>
                </c:pt>
                <c:pt idx="42">
                  <c:v>9</c:v>
                </c:pt>
                <c:pt idx="43">
                  <c:v>6</c:v>
                </c:pt>
                <c:pt idx="44">
                  <c:v>3</c:v>
                </c:pt>
                <c:pt idx="45">
                  <c:v>6</c:v>
                </c:pt>
                <c:pt idx="46">
                  <c:v>3</c:v>
                </c:pt>
                <c:pt idx="47">
                  <c:v>2</c:v>
                </c:pt>
                <c:pt idx="48">
                  <c:v>7</c:v>
                </c:pt>
                <c:pt idx="49">
                  <c:v>10</c:v>
                </c:pt>
                <c:pt idx="50">
                  <c:v>4</c:v>
                </c:pt>
                <c:pt idx="51">
                  <c:v>7</c:v>
                </c:pt>
                <c:pt idx="52">
                  <c:v>6</c:v>
                </c:pt>
                <c:pt idx="53">
                  <c:v>2</c:v>
                </c:pt>
                <c:pt idx="54">
                  <c:v>10</c:v>
                </c:pt>
                <c:pt idx="55">
                  <c:v>8</c:v>
                </c:pt>
                <c:pt idx="56">
                  <c:v>10</c:v>
                </c:pt>
                <c:pt idx="57">
                  <c:v>8</c:v>
                </c:pt>
                <c:pt idx="58">
                  <c:v>9</c:v>
                </c:pt>
              </c:numCache>
            </c:numRef>
          </c:val>
          <c:smooth val="0"/>
          <c:extLst>
            <c:ext xmlns:c16="http://schemas.microsoft.com/office/drawing/2014/chart" uri="{C3380CC4-5D6E-409C-BE32-E72D297353CC}">
              <c16:uniqueId val="{00000000-926F-4F96-AD05-72CC0B00098C}"/>
            </c:ext>
          </c:extLst>
        </c:ser>
        <c:dLbls>
          <c:showLegendKey val="0"/>
          <c:showVal val="0"/>
          <c:showCatName val="0"/>
          <c:showSerName val="0"/>
          <c:showPercent val="0"/>
          <c:showBubbleSize val="0"/>
        </c:dLbls>
        <c:smooth val="0"/>
        <c:axId val="1629958480"/>
        <c:axId val="1718458704"/>
      </c:lineChart>
      <c:catAx>
        <c:axId val="16299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crossAx val="1718458704"/>
        <c:crosses val="autoZero"/>
        <c:auto val="1"/>
        <c:lblAlgn val="ctr"/>
        <c:lblOffset val="100"/>
        <c:noMultiLvlLbl val="0"/>
      </c:catAx>
      <c:valAx>
        <c:axId val="171845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crossAx val="162995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[Patient_Complaints_Analysis.xLsx]PIVOT TABLE!PivotTable1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complaint types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SD"/>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TABLE'!$A$4:$A$18</c:f>
              <c:strCache>
                <c:ptCount val="14"/>
                <c:pt idx="0">
                  <c:v>Appearance</c:v>
                </c:pt>
                <c:pt idx="1">
                  <c:v>Cost</c:v>
                </c:pt>
                <c:pt idx="2">
                  <c:v>Don’t know who to call</c:v>
                </c:pt>
                <c:pt idx="3">
                  <c:v>Don't know who to call</c:v>
                </c:pt>
                <c:pt idx="4">
                  <c:v>Employee </c:v>
                </c:pt>
                <c:pt idx="5">
                  <c:v>Hard to get appointment</c:v>
                </c:pt>
                <c:pt idx="6">
                  <c:v>Hours of Operation</c:v>
                </c:pt>
                <c:pt idx="7">
                  <c:v>Lab Wait</c:v>
                </c:pt>
                <c:pt idx="8">
                  <c:v>Lack Information</c:v>
                </c:pt>
                <c:pt idx="9">
                  <c:v>Lack of Privacy</c:v>
                </c:pt>
                <c:pt idx="10">
                  <c:v>Not Treated with Respect</c:v>
                </c:pt>
                <c:pt idx="11">
                  <c:v>Other</c:v>
                </c:pt>
                <c:pt idx="12">
                  <c:v>Parking Issues</c:v>
                </c:pt>
                <c:pt idx="13">
                  <c:v>Wait time</c:v>
                </c:pt>
              </c:strCache>
            </c:strRef>
          </c:cat>
          <c:val>
            <c:numRef>
              <c:f>'PIVOT TABLE'!$B$4:$B$18</c:f>
              <c:numCache>
                <c:formatCode>General</c:formatCode>
                <c:ptCount val="14"/>
                <c:pt idx="0">
                  <c:v>4</c:v>
                </c:pt>
                <c:pt idx="1">
                  <c:v>12</c:v>
                </c:pt>
                <c:pt idx="2">
                  <c:v>1</c:v>
                </c:pt>
                <c:pt idx="3">
                  <c:v>29</c:v>
                </c:pt>
                <c:pt idx="4">
                  <c:v>1</c:v>
                </c:pt>
                <c:pt idx="5">
                  <c:v>17</c:v>
                </c:pt>
                <c:pt idx="6">
                  <c:v>15</c:v>
                </c:pt>
                <c:pt idx="7">
                  <c:v>5</c:v>
                </c:pt>
                <c:pt idx="8">
                  <c:v>42</c:v>
                </c:pt>
                <c:pt idx="9">
                  <c:v>5</c:v>
                </c:pt>
                <c:pt idx="10">
                  <c:v>56</c:v>
                </c:pt>
                <c:pt idx="11">
                  <c:v>3</c:v>
                </c:pt>
                <c:pt idx="12">
                  <c:v>4</c:v>
                </c:pt>
                <c:pt idx="13">
                  <c:v>68</c:v>
                </c:pt>
              </c:numCache>
            </c:numRef>
          </c:val>
          <c:extLst>
            <c:ext xmlns:c16="http://schemas.microsoft.com/office/drawing/2014/chart" uri="{C3380CC4-5D6E-409C-BE32-E72D297353CC}">
              <c16:uniqueId val="{00000000-AF53-43DB-B8A0-D8DAC6A00488}"/>
            </c:ext>
          </c:extLst>
        </c:ser>
        <c:dLbls>
          <c:showLegendKey val="0"/>
          <c:showVal val="0"/>
          <c:showCatName val="0"/>
          <c:showSerName val="0"/>
          <c:showPercent val="0"/>
          <c:showBubbleSize val="0"/>
        </c:dLbls>
        <c:gapWidth val="100"/>
        <c:overlap val="-24"/>
        <c:axId val="1623654240"/>
        <c:axId val="1718446224"/>
      </c:barChart>
      <c:catAx>
        <c:axId val="1623654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SD"/>
          </a:p>
        </c:txPr>
        <c:crossAx val="1718446224"/>
        <c:crosses val="autoZero"/>
        <c:auto val="1"/>
        <c:lblAlgn val="ctr"/>
        <c:lblOffset val="100"/>
        <c:noMultiLvlLbl val="0"/>
      </c:catAx>
      <c:valAx>
        <c:axId val="17184462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SD"/>
          </a:p>
        </c:txPr>
        <c:crossAx val="162365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[Patient_Complaints_Analysis.xLsx]PIVOT TABLE!PivotTable2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complaints over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SD"/>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0800" dist="38100" dir="5400000" rotWithShape="0">
              <a:srgbClr val="000000">
                <a:alpha val="35000"/>
              </a:srgbClr>
            </a:outerShdw>
          </a:effectLst>
        </c:spPr>
        <c:marker>
          <c:symbol val="circle"/>
          <c:size val="6"/>
          <c:spPr>
            <a:solidFill>
              <a:srgbClr val="00B050"/>
            </a:soli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c:f>
              <c:strCache>
                <c:ptCount val="1"/>
                <c:pt idx="0">
                  <c:v>Total</c:v>
                </c:pt>
              </c:strCache>
            </c:strRef>
          </c:tx>
          <c:spPr>
            <a:ln w="34925" cap="rnd">
              <a:solidFill>
                <a:schemeClr val="accent3"/>
              </a:solidFill>
              <a:round/>
            </a:ln>
            <a:effectLst>
              <a:outerShdw blurRad="50800" dist="38100" dir="5400000" rotWithShape="0">
                <a:srgbClr val="000000">
                  <a:alpha val="35000"/>
                </a:srgbClr>
              </a:outerShdw>
            </a:effectLst>
          </c:spPr>
          <c:marker>
            <c:symbol val="circle"/>
            <c:size val="6"/>
            <c:spPr>
              <a:solidFill>
                <a:srgbClr val="00B050"/>
              </a:soli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TABLE'!$A$22:$A$81</c:f>
              <c:strCache>
                <c:ptCount val="59"/>
                <c:pt idx="0">
                  <c:v>04/01/2016</c:v>
                </c:pt>
                <c:pt idx="1">
                  <c:v>05/01/2016</c:v>
                </c:pt>
                <c:pt idx="2">
                  <c:v>06/01/2016</c:v>
                </c:pt>
                <c:pt idx="3">
                  <c:v>07/01/2016</c:v>
                </c:pt>
                <c:pt idx="4">
                  <c:v>08/01/2016</c:v>
                </c:pt>
                <c:pt idx="5">
                  <c:v>11/01/2016</c:v>
                </c:pt>
                <c:pt idx="6">
                  <c:v>12/01/2016</c:v>
                </c:pt>
                <c:pt idx="7">
                  <c:v>13/01/2016</c:v>
                </c:pt>
                <c:pt idx="8">
                  <c:v>14/01/2016</c:v>
                </c:pt>
                <c:pt idx="9">
                  <c:v>15/01/2016</c:v>
                </c:pt>
                <c:pt idx="10">
                  <c:v>19/01/2016</c:v>
                </c:pt>
                <c:pt idx="11">
                  <c:v>20/01/2016</c:v>
                </c:pt>
                <c:pt idx="12">
                  <c:v>21/01/2016</c:v>
                </c:pt>
                <c:pt idx="13">
                  <c:v>22/01/2016</c:v>
                </c:pt>
                <c:pt idx="14">
                  <c:v>26/01/2016</c:v>
                </c:pt>
                <c:pt idx="15">
                  <c:v>27/01/2016</c:v>
                </c:pt>
                <c:pt idx="16">
                  <c:v>28/01/2016</c:v>
                </c:pt>
                <c:pt idx="17">
                  <c:v>01/02/2016</c:v>
                </c:pt>
                <c:pt idx="18">
                  <c:v>02/02/2016</c:v>
                </c:pt>
                <c:pt idx="19">
                  <c:v>03/02/2016</c:v>
                </c:pt>
                <c:pt idx="20">
                  <c:v>04/02/2016</c:v>
                </c:pt>
                <c:pt idx="21">
                  <c:v>05/02/2016</c:v>
                </c:pt>
                <c:pt idx="22">
                  <c:v>08/02/2016</c:v>
                </c:pt>
                <c:pt idx="23">
                  <c:v>09/02/2016</c:v>
                </c:pt>
                <c:pt idx="24">
                  <c:v>11/02/2016</c:v>
                </c:pt>
                <c:pt idx="25">
                  <c:v>12/02/2016</c:v>
                </c:pt>
                <c:pt idx="26">
                  <c:v>15/02/2016</c:v>
                </c:pt>
                <c:pt idx="27">
                  <c:v>16/02/2016</c:v>
                </c:pt>
                <c:pt idx="28">
                  <c:v>17/02/2016</c:v>
                </c:pt>
                <c:pt idx="29">
                  <c:v>18/02/2016</c:v>
                </c:pt>
                <c:pt idx="30">
                  <c:v>19/02/2016</c:v>
                </c:pt>
                <c:pt idx="31">
                  <c:v>22/02/2016</c:v>
                </c:pt>
                <c:pt idx="32">
                  <c:v>23/02/2016</c:v>
                </c:pt>
                <c:pt idx="33">
                  <c:v>24/02/2016</c:v>
                </c:pt>
                <c:pt idx="34">
                  <c:v>25/02/2016</c:v>
                </c:pt>
                <c:pt idx="35">
                  <c:v>26/02/2016</c:v>
                </c:pt>
                <c:pt idx="36">
                  <c:v>27/02/2016</c:v>
                </c:pt>
                <c:pt idx="37">
                  <c:v>01/03/2016</c:v>
                </c:pt>
                <c:pt idx="38">
                  <c:v>02/03/2016</c:v>
                </c:pt>
                <c:pt idx="39">
                  <c:v>03/03/2016</c:v>
                </c:pt>
                <c:pt idx="40">
                  <c:v>04/03/2016</c:v>
                </c:pt>
                <c:pt idx="41">
                  <c:v>07/03/2016</c:v>
                </c:pt>
                <c:pt idx="42">
                  <c:v>08/03/2016</c:v>
                </c:pt>
                <c:pt idx="43">
                  <c:v>09/03/2016</c:v>
                </c:pt>
                <c:pt idx="44">
                  <c:v>10/03/2016</c:v>
                </c:pt>
                <c:pt idx="45">
                  <c:v>11/03/2016</c:v>
                </c:pt>
                <c:pt idx="46">
                  <c:v>14/03/2016</c:v>
                </c:pt>
                <c:pt idx="47">
                  <c:v>15/03/2016</c:v>
                </c:pt>
                <c:pt idx="48">
                  <c:v>16/03/2016</c:v>
                </c:pt>
                <c:pt idx="49">
                  <c:v>17/03/2016</c:v>
                </c:pt>
                <c:pt idx="50">
                  <c:v>18/03/2016</c:v>
                </c:pt>
                <c:pt idx="51">
                  <c:v>21/03/2016</c:v>
                </c:pt>
                <c:pt idx="52">
                  <c:v>22/03/2016</c:v>
                </c:pt>
                <c:pt idx="53">
                  <c:v>23/03/2016</c:v>
                </c:pt>
                <c:pt idx="54">
                  <c:v>25/03/2016</c:v>
                </c:pt>
                <c:pt idx="55">
                  <c:v>28/03/2016</c:v>
                </c:pt>
                <c:pt idx="56">
                  <c:v>29/03/2016</c:v>
                </c:pt>
                <c:pt idx="57">
                  <c:v>30/03/2016</c:v>
                </c:pt>
                <c:pt idx="58">
                  <c:v>31/03/2016</c:v>
                </c:pt>
              </c:strCache>
            </c:strRef>
          </c:cat>
          <c:val>
            <c:numRef>
              <c:f>'PIVOT TABLE'!$B$22:$B$81</c:f>
              <c:numCache>
                <c:formatCode>General</c:formatCode>
                <c:ptCount val="59"/>
                <c:pt idx="0">
                  <c:v>4</c:v>
                </c:pt>
                <c:pt idx="1">
                  <c:v>2</c:v>
                </c:pt>
                <c:pt idx="2">
                  <c:v>4</c:v>
                </c:pt>
                <c:pt idx="3">
                  <c:v>7</c:v>
                </c:pt>
                <c:pt idx="4">
                  <c:v>11</c:v>
                </c:pt>
                <c:pt idx="5">
                  <c:v>3</c:v>
                </c:pt>
                <c:pt idx="6">
                  <c:v>6</c:v>
                </c:pt>
                <c:pt idx="7">
                  <c:v>2</c:v>
                </c:pt>
                <c:pt idx="8">
                  <c:v>4</c:v>
                </c:pt>
                <c:pt idx="9">
                  <c:v>5</c:v>
                </c:pt>
                <c:pt idx="10">
                  <c:v>2</c:v>
                </c:pt>
                <c:pt idx="11">
                  <c:v>1</c:v>
                </c:pt>
                <c:pt idx="12">
                  <c:v>3</c:v>
                </c:pt>
                <c:pt idx="13">
                  <c:v>5</c:v>
                </c:pt>
                <c:pt idx="14">
                  <c:v>5</c:v>
                </c:pt>
                <c:pt idx="15">
                  <c:v>3</c:v>
                </c:pt>
                <c:pt idx="16">
                  <c:v>2</c:v>
                </c:pt>
                <c:pt idx="17">
                  <c:v>3</c:v>
                </c:pt>
                <c:pt idx="18">
                  <c:v>3</c:v>
                </c:pt>
                <c:pt idx="19">
                  <c:v>5</c:v>
                </c:pt>
                <c:pt idx="20">
                  <c:v>1</c:v>
                </c:pt>
                <c:pt idx="21">
                  <c:v>6</c:v>
                </c:pt>
                <c:pt idx="22">
                  <c:v>3</c:v>
                </c:pt>
                <c:pt idx="23">
                  <c:v>5</c:v>
                </c:pt>
                <c:pt idx="24">
                  <c:v>4</c:v>
                </c:pt>
                <c:pt idx="25">
                  <c:v>2</c:v>
                </c:pt>
                <c:pt idx="26">
                  <c:v>1</c:v>
                </c:pt>
                <c:pt idx="27">
                  <c:v>1</c:v>
                </c:pt>
                <c:pt idx="28">
                  <c:v>3</c:v>
                </c:pt>
                <c:pt idx="29">
                  <c:v>1</c:v>
                </c:pt>
                <c:pt idx="30">
                  <c:v>1</c:v>
                </c:pt>
                <c:pt idx="31">
                  <c:v>4</c:v>
                </c:pt>
                <c:pt idx="32">
                  <c:v>1</c:v>
                </c:pt>
                <c:pt idx="33">
                  <c:v>3</c:v>
                </c:pt>
                <c:pt idx="34">
                  <c:v>4</c:v>
                </c:pt>
                <c:pt idx="35">
                  <c:v>2</c:v>
                </c:pt>
                <c:pt idx="36">
                  <c:v>1</c:v>
                </c:pt>
                <c:pt idx="37">
                  <c:v>7</c:v>
                </c:pt>
                <c:pt idx="38">
                  <c:v>3</c:v>
                </c:pt>
                <c:pt idx="39">
                  <c:v>10</c:v>
                </c:pt>
                <c:pt idx="40">
                  <c:v>3</c:v>
                </c:pt>
                <c:pt idx="41">
                  <c:v>6</c:v>
                </c:pt>
                <c:pt idx="42">
                  <c:v>9</c:v>
                </c:pt>
                <c:pt idx="43">
                  <c:v>6</c:v>
                </c:pt>
                <c:pt idx="44">
                  <c:v>3</c:v>
                </c:pt>
                <c:pt idx="45">
                  <c:v>6</c:v>
                </c:pt>
                <c:pt idx="46">
                  <c:v>3</c:v>
                </c:pt>
                <c:pt idx="47">
                  <c:v>2</c:v>
                </c:pt>
                <c:pt idx="48">
                  <c:v>7</c:v>
                </c:pt>
                <c:pt idx="49">
                  <c:v>10</c:v>
                </c:pt>
                <c:pt idx="50">
                  <c:v>4</c:v>
                </c:pt>
                <c:pt idx="51">
                  <c:v>7</c:v>
                </c:pt>
                <c:pt idx="52">
                  <c:v>6</c:v>
                </c:pt>
                <c:pt idx="53">
                  <c:v>2</c:v>
                </c:pt>
                <c:pt idx="54">
                  <c:v>10</c:v>
                </c:pt>
                <c:pt idx="55">
                  <c:v>8</c:v>
                </c:pt>
                <c:pt idx="56">
                  <c:v>10</c:v>
                </c:pt>
                <c:pt idx="57">
                  <c:v>8</c:v>
                </c:pt>
                <c:pt idx="58">
                  <c:v>9</c:v>
                </c:pt>
              </c:numCache>
            </c:numRef>
          </c:val>
          <c:smooth val="0"/>
          <c:extLst>
            <c:ext xmlns:c16="http://schemas.microsoft.com/office/drawing/2014/chart" uri="{C3380CC4-5D6E-409C-BE32-E72D297353CC}">
              <c16:uniqueId val="{00000000-3B4F-450E-A029-C3B48BBB2933}"/>
            </c:ext>
          </c:extLst>
        </c:ser>
        <c:dLbls>
          <c:showLegendKey val="0"/>
          <c:showVal val="0"/>
          <c:showCatName val="0"/>
          <c:showSerName val="0"/>
          <c:showPercent val="0"/>
          <c:showBubbleSize val="0"/>
        </c:dLbls>
        <c:marker val="1"/>
        <c:smooth val="0"/>
        <c:axId val="1629958480"/>
        <c:axId val="1718458704"/>
      </c:lineChart>
      <c:catAx>
        <c:axId val="16299584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SD"/>
          </a:p>
        </c:txPr>
        <c:crossAx val="1718458704"/>
        <c:crosses val="autoZero"/>
        <c:auto val="1"/>
        <c:lblAlgn val="ctr"/>
        <c:lblOffset val="100"/>
        <c:noMultiLvlLbl val="0"/>
      </c:catAx>
      <c:valAx>
        <c:axId val="1718458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SD"/>
          </a:p>
        </c:txPr>
        <c:crossAx val="1629958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[Patient_Complaints_Analysis.xLsx]PIVOT TABLE!PivotTable7</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complaints over time</a:t>
            </a:r>
          </a:p>
        </c:rich>
      </c:tx>
      <c:layout>
        <c:manualLayout>
          <c:xMode val="edge"/>
          <c:yMode val="edge"/>
          <c:x val="0.18800733836661129"/>
          <c:y val="0.1236370277448826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SD"/>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0800" dist="381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TABLE'!$B$108</c:f>
              <c:strCache>
                <c:ptCount val="1"/>
                <c:pt idx="0">
                  <c:v>Total</c:v>
                </c:pt>
              </c:strCache>
            </c:strRef>
          </c:tx>
          <c:spPr>
            <a:ln w="34925" cap="rnd">
              <a:solidFill>
                <a:schemeClr val="accent3"/>
              </a:solidFill>
              <a:round/>
            </a:ln>
            <a:effectLst>
              <a:outerShdw blurRad="50800" dist="381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TABLE'!$A$109:$A$115</c:f>
              <c:strCache>
                <c:ptCount val="6"/>
                <c:pt idx="0">
                  <c:v>Monday</c:v>
                </c:pt>
                <c:pt idx="1">
                  <c:v>Tuesday</c:v>
                </c:pt>
                <c:pt idx="2">
                  <c:v>Wednesday</c:v>
                </c:pt>
                <c:pt idx="3">
                  <c:v>Thursday</c:v>
                </c:pt>
                <c:pt idx="4">
                  <c:v>Friday</c:v>
                </c:pt>
                <c:pt idx="5">
                  <c:v>Saturday</c:v>
                </c:pt>
              </c:strCache>
            </c:strRef>
          </c:cat>
          <c:val>
            <c:numRef>
              <c:f>'PIVOT TABLE'!$B$109:$B$115</c:f>
              <c:numCache>
                <c:formatCode>General</c:formatCode>
                <c:ptCount val="6"/>
                <c:pt idx="0">
                  <c:v>42</c:v>
                </c:pt>
                <c:pt idx="1">
                  <c:v>59</c:v>
                </c:pt>
                <c:pt idx="2">
                  <c:v>47</c:v>
                </c:pt>
                <c:pt idx="3">
                  <c:v>58</c:v>
                </c:pt>
                <c:pt idx="4">
                  <c:v>55</c:v>
                </c:pt>
                <c:pt idx="5">
                  <c:v>1</c:v>
                </c:pt>
              </c:numCache>
            </c:numRef>
          </c:val>
          <c:smooth val="0"/>
          <c:extLst>
            <c:ext xmlns:c16="http://schemas.microsoft.com/office/drawing/2014/chart" uri="{C3380CC4-5D6E-409C-BE32-E72D297353CC}">
              <c16:uniqueId val="{00000000-1E95-495B-9AD7-B6C0FF208404}"/>
            </c:ext>
          </c:extLst>
        </c:ser>
        <c:dLbls>
          <c:showLegendKey val="0"/>
          <c:showVal val="0"/>
          <c:showCatName val="0"/>
          <c:showSerName val="0"/>
          <c:showPercent val="0"/>
          <c:showBubbleSize val="0"/>
        </c:dLbls>
        <c:marker val="1"/>
        <c:smooth val="0"/>
        <c:axId val="521352032"/>
        <c:axId val="521047120"/>
      </c:lineChart>
      <c:catAx>
        <c:axId val="5213520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SD"/>
          </a:p>
        </c:txPr>
        <c:crossAx val="521047120"/>
        <c:crosses val="autoZero"/>
        <c:auto val="1"/>
        <c:lblAlgn val="ctr"/>
        <c:lblOffset val="100"/>
        <c:noMultiLvlLbl val="0"/>
      </c:catAx>
      <c:valAx>
        <c:axId val="521047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SD"/>
          </a:p>
        </c:txPr>
        <c:crossAx val="52135203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SD"/>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[Patient_Complaints_Analysis.xLsx]PIVOT TABLE!PivotTable6</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complaints over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SD"/>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TABLE'!$B$92</c:f>
              <c:strCache>
                <c:ptCount val="1"/>
                <c:pt idx="0">
                  <c:v>Total</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TABLE'!$A$93:$A$106</c:f>
              <c:strCache>
                <c:ptCount val="13"/>
                <c:pt idx="0">
                  <c:v>2</c:v>
                </c:pt>
                <c:pt idx="1">
                  <c:v>3</c:v>
                </c:pt>
                <c:pt idx="2">
                  <c:v>4</c:v>
                </c:pt>
                <c:pt idx="3">
                  <c:v>5</c:v>
                </c:pt>
                <c:pt idx="4">
                  <c:v>6</c:v>
                </c:pt>
                <c:pt idx="5">
                  <c:v>7</c:v>
                </c:pt>
                <c:pt idx="6">
                  <c:v>8</c:v>
                </c:pt>
                <c:pt idx="7">
                  <c:v>9</c:v>
                </c:pt>
                <c:pt idx="8">
                  <c:v>10</c:v>
                </c:pt>
                <c:pt idx="9">
                  <c:v>11</c:v>
                </c:pt>
                <c:pt idx="10">
                  <c:v>12</c:v>
                </c:pt>
                <c:pt idx="11">
                  <c:v>13</c:v>
                </c:pt>
                <c:pt idx="12">
                  <c:v>14</c:v>
                </c:pt>
              </c:strCache>
            </c:strRef>
          </c:cat>
          <c:val>
            <c:numRef>
              <c:f>'PIVOT TABLE'!$B$93:$B$106</c:f>
              <c:numCache>
                <c:formatCode>General</c:formatCode>
                <c:ptCount val="13"/>
                <c:pt idx="0">
                  <c:v>28</c:v>
                </c:pt>
                <c:pt idx="1">
                  <c:v>20</c:v>
                </c:pt>
                <c:pt idx="2">
                  <c:v>11</c:v>
                </c:pt>
                <c:pt idx="3">
                  <c:v>10</c:v>
                </c:pt>
                <c:pt idx="4">
                  <c:v>18</c:v>
                </c:pt>
                <c:pt idx="5">
                  <c:v>14</c:v>
                </c:pt>
                <c:pt idx="6">
                  <c:v>7</c:v>
                </c:pt>
                <c:pt idx="7">
                  <c:v>15</c:v>
                </c:pt>
                <c:pt idx="8">
                  <c:v>23</c:v>
                </c:pt>
                <c:pt idx="9">
                  <c:v>30</c:v>
                </c:pt>
                <c:pt idx="10">
                  <c:v>26</c:v>
                </c:pt>
                <c:pt idx="11">
                  <c:v>25</c:v>
                </c:pt>
                <c:pt idx="12">
                  <c:v>35</c:v>
                </c:pt>
              </c:numCache>
            </c:numRef>
          </c:val>
          <c:extLst>
            <c:ext xmlns:c16="http://schemas.microsoft.com/office/drawing/2014/chart" uri="{C3380CC4-5D6E-409C-BE32-E72D297353CC}">
              <c16:uniqueId val="{00000000-2585-455B-9466-5517922FEE40}"/>
            </c:ext>
          </c:extLst>
        </c:ser>
        <c:dLbls>
          <c:showLegendKey val="0"/>
          <c:showVal val="0"/>
          <c:showCatName val="0"/>
          <c:showSerName val="0"/>
          <c:showPercent val="0"/>
          <c:showBubbleSize val="0"/>
        </c:dLbls>
        <c:gapWidth val="100"/>
        <c:overlap val="-24"/>
        <c:axId val="1527655728"/>
        <c:axId val="1527184624"/>
      </c:barChart>
      <c:catAx>
        <c:axId val="1527655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SD"/>
          </a:p>
        </c:txPr>
        <c:crossAx val="1527184624"/>
        <c:crosses val="autoZero"/>
        <c:auto val="1"/>
        <c:lblAlgn val="ctr"/>
        <c:lblOffset val="100"/>
        <c:noMultiLvlLbl val="0"/>
      </c:catAx>
      <c:valAx>
        <c:axId val="1527184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SD"/>
          </a:p>
        </c:txPr>
        <c:crossAx val="152765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[Patient_Complaints_Analysis.xLsx]PIVOT TABLE!PivotTable5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complaints over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SD"/>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3.491549225136667E-2"/>
              <c:y val="4.0730578597367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8.2163933329989017E-3"/>
              <c:y val="7.35089414459015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2.4124245615794852E-2"/>
              <c:y val="0.229896725458131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TABLE'!$B$84</c:f>
              <c:strCache>
                <c:ptCount val="1"/>
                <c:pt idx="0">
                  <c:v>Total</c:v>
                </c:pt>
              </c:strCache>
            </c:strRef>
          </c:tx>
          <c:dPt>
            <c:idx val="0"/>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7698-429B-955D-50323EFD3216}"/>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7698-429B-955D-50323EFD3216}"/>
              </c:ext>
            </c:extLst>
          </c:dPt>
          <c:dPt>
            <c:idx val="2"/>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7698-429B-955D-50323EFD3216}"/>
              </c:ext>
            </c:extLst>
          </c:dPt>
          <c:dLbls>
            <c:dLbl>
              <c:idx val="0"/>
              <c:layout>
                <c:manualLayout>
                  <c:x val="3.491549225136667E-2"/>
                  <c:y val="4.073057859736758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98-429B-955D-50323EFD3216}"/>
                </c:ext>
              </c:extLst>
            </c:dLbl>
            <c:dLbl>
              <c:idx val="1"/>
              <c:layout>
                <c:manualLayout>
                  <c:x val="8.2163933329989017E-3"/>
                  <c:y val="7.3508941445901508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698-429B-955D-50323EFD3216}"/>
                </c:ext>
              </c:extLst>
            </c:dLbl>
            <c:dLbl>
              <c:idx val="2"/>
              <c:layout>
                <c:manualLayout>
                  <c:x val="2.4124245615794852E-2"/>
                  <c:y val="0.22989672545813195"/>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698-429B-955D-50323EFD32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SD"/>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TABLE'!$A$85:$A$88</c:f>
              <c:strCache>
                <c:ptCount val="3"/>
                <c:pt idx="0">
                  <c:v>January</c:v>
                </c:pt>
                <c:pt idx="1">
                  <c:v>February</c:v>
                </c:pt>
                <c:pt idx="2">
                  <c:v>March</c:v>
                </c:pt>
              </c:strCache>
            </c:strRef>
          </c:cat>
          <c:val>
            <c:numRef>
              <c:f>'PIVOT TABLE'!$B$85:$B$88</c:f>
              <c:numCache>
                <c:formatCode>General</c:formatCode>
                <c:ptCount val="3"/>
                <c:pt idx="0">
                  <c:v>69</c:v>
                </c:pt>
                <c:pt idx="1">
                  <c:v>54</c:v>
                </c:pt>
                <c:pt idx="2">
                  <c:v>139</c:v>
                </c:pt>
              </c:numCache>
            </c:numRef>
          </c:val>
          <c:extLst>
            <c:ext xmlns:c16="http://schemas.microsoft.com/office/drawing/2014/chart" uri="{C3380CC4-5D6E-409C-BE32-E72D297353CC}">
              <c16:uniqueId val="{00000006-7698-429B-955D-50323EFD321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SD"/>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0</xdr:colOff>
      <xdr:row>107</xdr:row>
      <xdr:rowOff>171450</xdr:rowOff>
    </xdr:from>
    <xdr:to>
      <xdr:col>11</xdr:col>
      <xdr:colOff>0</xdr:colOff>
      <xdr:row>122</xdr:row>
      <xdr:rowOff>104775</xdr:rowOff>
    </xdr:to>
    <xdr:graphicFrame macro="">
      <xdr:nvGraphicFramePr>
        <xdr:cNvPr id="4" name="Chart 3">
          <a:extLst>
            <a:ext uri="{FF2B5EF4-FFF2-40B4-BE49-F238E27FC236}">
              <a16:creationId xmlns:a16="http://schemas.microsoft.com/office/drawing/2014/main" id="{92C68521-8433-46EA-8755-613861D08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90</xdr:row>
      <xdr:rowOff>161925</xdr:rowOff>
    </xdr:from>
    <xdr:to>
      <xdr:col>10</xdr:col>
      <xdr:colOff>590550</xdr:colOff>
      <xdr:row>105</xdr:row>
      <xdr:rowOff>114300</xdr:rowOff>
    </xdr:to>
    <xdr:graphicFrame macro="">
      <xdr:nvGraphicFramePr>
        <xdr:cNvPr id="5" name="Chart 4">
          <a:extLst>
            <a:ext uri="{FF2B5EF4-FFF2-40B4-BE49-F238E27FC236}">
              <a16:creationId xmlns:a16="http://schemas.microsoft.com/office/drawing/2014/main" id="{652BE18B-0672-4DC6-9B60-783AF8676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19050</xdr:colOff>
      <xdr:row>74</xdr:row>
      <xdr:rowOff>28574</xdr:rowOff>
    </xdr:from>
    <xdr:to>
      <xdr:col>10</xdr:col>
      <xdr:colOff>590550</xdr:colOff>
      <xdr:row>88</xdr:row>
      <xdr:rowOff>133349</xdr:rowOff>
    </xdr:to>
    <xdr:graphicFrame macro="">
      <xdr:nvGraphicFramePr>
        <xdr:cNvPr id="6" name="Chart 5">
          <a:extLst>
            <a:ext uri="{FF2B5EF4-FFF2-40B4-BE49-F238E27FC236}">
              <a16:creationId xmlns:a16="http://schemas.microsoft.com/office/drawing/2014/main" id="{338CA2A4-B741-4E9E-9BBF-D998154EE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1</xdr:row>
      <xdr:rowOff>9525</xdr:rowOff>
    </xdr:from>
    <xdr:to>
      <xdr:col>13</xdr:col>
      <xdr:colOff>9525</xdr:colOff>
      <xdr:row>16</xdr:row>
      <xdr:rowOff>0</xdr:rowOff>
    </xdr:to>
    <xdr:graphicFrame macro="">
      <xdr:nvGraphicFramePr>
        <xdr:cNvPr id="9" name="Chart 8">
          <a:extLst>
            <a:ext uri="{FF2B5EF4-FFF2-40B4-BE49-F238E27FC236}">
              <a16:creationId xmlns:a16="http://schemas.microsoft.com/office/drawing/2014/main" id="{330CF231-6891-4A4B-A794-9153FFEC2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xdr:colOff>
      <xdr:row>25</xdr:row>
      <xdr:rowOff>28575</xdr:rowOff>
    </xdr:from>
    <xdr:to>
      <xdr:col>12</xdr:col>
      <xdr:colOff>600074</xdr:colOff>
      <xdr:row>39</xdr:row>
      <xdr:rowOff>28575</xdr:rowOff>
    </xdr:to>
    <xdr:graphicFrame macro="">
      <xdr:nvGraphicFramePr>
        <xdr:cNvPr id="11" name="Chart 10">
          <a:extLst>
            <a:ext uri="{FF2B5EF4-FFF2-40B4-BE49-F238E27FC236}">
              <a16:creationId xmlns:a16="http://schemas.microsoft.com/office/drawing/2014/main" id="{C64FBF76-8948-48ED-9728-81DCF382A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142875</xdr:colOff>
      <xdr:row>0</xdr:row>
      <xdr:rowOff>104775</xdr:rowOff>
    </xdr:from>
    <xdr:to>
      <xdr:col>21</xdr:col>
      <xdr:colOff>552449</xdr:colOff>
      <xdr:row>2</xdr:row>
      <xdr:rowOff>76200</xdr:rowOff>
    </xdr:to>
    <xdr:sp macro="" textlink="">
      <xdr:nvSpPr>
        <xdr:cNvPr id="2" name="Rectangle: Rounded Corners 1">
          <a:extLst>
            <a:ext uri="{FF2B5EF4-FFF2-40B4-BE49-F238E27FC236}">
              <a16:creationId xmlns:a16="http://schemas.microsoft.com/office/drawing/2014/main" id="{ED1A5F72-DDA0-4CE8-AA53-3508309D8F1D}"/>
            </a:ext>
          </a:extLst>
        </xdr:cNvPr>
        <xdr:cNvSpPr/>
      </xdr:nvSpPr>
      <xdr:spPr>
        <a:xfrm>
          <a:off x="3571875" y="104775"/>
          <a:ext cx="11382374" cy="390525"/>
        </a:xfrm>
        <a:prstGeom prst="roundRect">
          <a:avLst/>
        </a:prstGeom>
        <a:solidFill>
          <a:srgbClr val="92D0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                                                                          </a:t>
          </a:r>
          <a:endParaRPr lang="en-SD" sz="2400" u="sng">
            <a:solidFill>
              <a:schemeClr val="tx1"/>
            </a:solidFill>
          </a:endParaRPr>
        </a:p>
      </xdr:txBody>
    </xdr:sp>
    <xdr:clientData/>
  </xdr:twoCellAnchor>
  <xdr:twoCellAnchor>
    <xdr:from>
      <xdr:col>13</xdr:col>
      <xdr:colOff>95250</xdr:colOff>
      <xdr:row>2</xdr:row>
      <xdr:rowOff>142875</xdr:rowOff>
    </xdr:from>
    <xdr:to>
      <xdr:col>21</xdr:col>
      <xdr:colOff>533400</xdr:colOff>
      <xdr:row>13</xdr:row>
      <xdr:rowOff>114300</xdr:rowOff>
    </xdr:to>
    <xdr:graphicFrame macro="">
      <xdr:nvGraphicFramePr>
        <xdr:cNvPr id="8" name="Chart 7">
          <a:extLst>
            <a:ext uri="{FF2B5EF4-FFF2-40B4-BE49-F238E27FC236}">
              <a16:creationId xmlns:a16="http://schemas.microsoft.com/office/drawing/2014/main" id="{AF63A74D-6DD1-4087-B8C7-A529D54C1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142873</xdr:colOff>
      <xdr:row>2</xdr:row>
      <xdr:rowOff>133351</xdr:rowOff>
    </xdr:from>
    <xdr:to>
      <xdr:col>13</xdr:col>
      <xdr:colOff>19050</xdr:colOff>
      <xdr:row>13</xdr:row>
      <xdr:rowOff>133351</xdr:rowOff>
    </xdr:to>
    <xdr:graphicFrame macro="">
      <xdr:nvGraphicFramePr>
        <xdr:cNvPr id="10" name="Chart 9">
          <a:extLst>
            <a:ext uri="{FF2B5EF4-FFF2-40B4-BE49-F238E27FC236}">
              <a16:creationId xmlns:a16="http://schemas.microsoft.com/office/drawing/2014/main" id="{6289938F-9C35-4A60-BB39-4C6F35716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504826</xdr:colOff>
      <xdr:row>13</xdr:row>
      <xdr:rowOff>209548</xdr:rowOff>
    </xdr:from>
    <xdr:to>
      <xdr:col>21</xdr:col>
      <xdr:colOff>542926</xdr:colOff>
      <xdr:row>27</xdr:row>
      <xdr:rowOff>19049</xdr:rowOff>
    </xdr:to>
    <xdr:graphicFrame macro="">
      <xdr:nvGraphicFramePr>
        <xdr:cNvPr id="12" name="Chart 11">
          <a:extLst>
            <a:ext uri="{FF2B5EF4-FFF2-40B4-BE49-F238E27FC236}">
              <a16:creationId xmlns:a16="http://schemas.microsoft.com/office/drawing/2014/main" id="{C4482EB4-073D-4CC1-AD1D-CE8A3E24B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447675</xdr:colOff>
      <xdr:row>14</xdr:row>
      <xdr:rowOff>1</xdr:rowOff>
    </xdr:from>
    <xdr:to>
      <xdr:col>15</xdr:col>
      <xdr:colOff>419100</xdr:colOff>
      <xdr:row>27</xdr:row>
      <xdr:rowOff>19050</xdr:rowOff>
    </xdr:to>
    <xdr:graphicFrame macro="">
      <xdr:nvGraphicFramePr>
        <xdr:cNvPr id="14" name="Chart 13">
          <a:extLst>
            <a:ext uri="{FF2B5EF4-FFF2-40B4-BE49-F238E27FC236}">
              <a16:creationId xmlns:a16="http://schemas.microsoft.com/office/drawing/2014/main" id="{129F0C5D-2CC0-4545-A050-8820E9B26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114300</xdr:colOff>
      <xdr:row>13</xdr:row>
      <xdr:rowOff>200026</xdr:rowOff>
    </xdr:from>
    <xdr:to>
      <xdr:col>9</xdr:col>
      <xdr:colOff>361950</xdr:colOff>
      <xdr:row>27</xdr:row>
      <xdr:rowOff>28575</xdr:rowOff>
    </xdr:to>
    <xdr:graphicFrame macro="">
      <xdr:nvGraphicFramePr>
        <xdr:cNvPr id="16" name="Chart 15">
          <a:extLst>
            <a:ext uri="{FF2B5EF4-FFF2-40B4-BE49-F238E27FC236}">
              <a16:creationId xmlns:a16="http://schemas.microsoft.com/office/drawing/2014/main" id="{DF48C1BE-6FB8-45EE-8E68-EEF868CC3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123826</xdr:colOff>
      <xdr:row>6</xdr:row>
      <xdr:rowOff>180976</xdr:rowOff>
    </xdr:from>
    <xdr:to>
      <xdr:col>5</xdr:col>
      <xdr:colOff>66675</xdr:colOff>
      <xdr:row>11</xdr:row>
      <xdr:rowOff>57150</xdr:rowOff>
    </xdr:to>
    <mc:AlternateContent xmlns:mc="http://schemas.openxmlformats.org/markup-compatibility/2006" xmlns:a14="http://schemas.microsoft.com/office/drawing/2010/main">
      <mc:Choice Requires="a14">
        <xdr:graphicFrame macro="">
          <xdr:nvGraphicFramePr>
            <xdr:cNvPr id="18" name="Complaint Type">
              <a:extLst>
                <a:ext uri="{FF2B5EF4-FFF2-40B4-BE49-F238E27FC236}">
                  <a16:creationId xmlns:a16="http://schemas.microsoft.com/office/drawing/2014/main" id="{3C9F8D18-AAE2-4109-B512-DD248194167E}"/>
                </a:ext>
              </a:extLst>
            </xdr:cNvPr>
            <xdr:cNvGraphicFramePr/>
          </xdr:nvGraphicFramePr>
          <xdr:xfrm>
            <a:off x="0" y="0"/>
            <a:ext cx="0" cy="0"/>
          </xdr:xfrm>
          <a:graphic>
            <a:graphicData uri="http://schemas.microsoft.com/office/drawing/2010/slicer">
              <sle:slicer xmlns:sle="http://schemas.microsoft.com/office/drawing/2010/slicer" name="Complaint Type"/>
            </a:graphicData>
          </a:graphic>
        </xdr:graphicFrame>
      </mc:Choice>
      <mc:Fallback xmlns="">
        <xdr:sp macro="" textlink="">
          <xdr:nvSpPr>
            <xdr:cNvPr id="0" name=""/>
            <xdr:cNvSpPr>
              <a:spLocks noTextEdit="1"/>
            </xdr:cNvSpPr>
          </xdr:nvSpPr>
          <xdr:spPr>
            <a:xfrm>
              <a:off x="123826" y="1438276"/>
              <a:ext cx="3371849" cy="923924"/>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11</xdr:row>
      <xdr:rowOff>85726</xdr:rowOff>
    </xdr:from>
    <xdr:to>
      <xdr:col>5</xdr:col>
      <xdr:colOff>57150</xdr:colOff>
      <xdr:row>15</xdr:row>
      <xdr:rowOff>142876</xdr:rowOff>
    </xdr:to>
    <mc:AlternateContent xmlns:mc="http://schemas.openxmlformats.org/markup-compatibility/2006" xmlns:a14="http://schemas.microsoft.com/office/drawing/2010/main">
      <mc:Choice Requires="a14">
        <xdr:graphicFrame macro="">
          <xdr:nvGraphicFramePr>
            <xdr:cNvPr id="19" name="Date">
              <a:extLst>
                <a:ext uri="{FF2B5EF4-FFF2-40B4-BE49-F238E27FC236}">
                  <a16:creationId xmlns:a16="http://schemas.microsoft.com/office/drawing/2014/main" id="{495C303E-888C-4CD3-B6C7-C764F029FAE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33350" y="2390776"/>
              <a:ext cx="3352800" cy="895350"/>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15</xdr:row>
      <xdr:rowOff>190501</xdr:rowOff>
    </xdr:from>
    <xdr:to>
      <xdr:col>5</xdr:col>
      <xdr:colOff>19050</xdr:colOff>
      <xdr:row>20</xdr:row>
      <xdr:rowOff>95251</xdr:rowOff>
    </xdr:to>
    <mc:AlternateContent xmlns:mc="http://schemas.openxmlformats.org/markup-compatibility/2006" xmlns:a14="http://schemas.microsoft.com/office/drawing/2010/main">
      <mc:Choice Requires="a14">
        <xdr:graphicFrame macro="">
          <xdr:nvGraphicFramePr>
            <xdr:cNvPr id="20" name="Date2">
              <a:extLst>
                <a:ext uri="{FF2B5EF4-FFF2-40B4-BE49-F238E27FC236}">
                  <a16:creationId xmlns:a16="http://schemas.microsoft.com/office/drawing/2014/main" id="{96DD9F26-B903-4552-8853-BC9D4355A5B9}"/>
                </a:ext>
              </a:extLst>
            </xdr:cNvPr>
            <xdr:cNvGraphicFramePr/>
          </xdr:nvGraphicFramePr>
          <xdr:xfrm>
            <a:off x="0" y="0"/>
            <a:ext cx="0" cy="0"/>
          </xdr:xfrm>
          <a:graphic>
            <a:graphicData uri="http://schemas.microsoft.com/office/drawing/2010/slicer">
              <sle:slicer xmlns:sle="http://schemas.microsoft.com/office/drawing/2010/slicer" name="Date2"/>
            </a:graphicData>
          </a:graphic>
        </xdr:graphicFrame>
      </mc:Choice>
      <mc:Fallback xmlns="">
        <xdr:sp macro="" textlink="">
          <xdr:nvSpPr>
            <xdr:cNvPr id="0" name=""/>
            <xdr:cNvSpPr>
              <a:spLocks noTextEdit="1"/>
            </xdr:cNvSpPr>
          </xdr:nvSpPr>
          <xdr:spPr>
            <a:xfrm>
              <a:off x="123825" y="3333751"/>
              <a:ext cx="3324225" cy="952500"/>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123823</xdr:colOff>
      <xdr:row>20</xdr:row>
      <xdr:rowOff>152400</xdr:rowOff>
    </xdr:from>
    <xdr:to>
      <xdr:col>5</xdr:col>
      <xdr:colOff>28575</xdr:colOff>
      <xdr:row>24</xdr:row>
      <xdr:rowOff>9525</xdr:rowOff>
    </xdr:to>
    <mc:AlternateContent xmlns:mc="http://schemas.openxmlformats.org/markup-compatibility/2006" xmlns:a14="http://schemas.microsoft.com/office/drawing/2010/main">
      <mc:Choice Requires="a14">
        <xdr:graphicFrame macro="">
          <xdr:nvGraphicFramePr>
            <xdr:cNvPr id="21" name="Week">
              <a:extLst>
                <a:ext uri="{FF2B5EF4-FFF2-40B4-BE49-F238E27FC236}">
                  <a16:creationId xmlns:a16="http://schemas.microsoft.com/office/drawing/2014/main" id="{28F24E4B-B028-4960-ADD0-8D85C480DDE9}"/>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123823" y="4343400"/>
              <a:ext cx="3333752" cy="695325"/>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123822</xdr:colOff>
      <xdr:row>24</xdr:row>
      <xdr:rowOff>47625</xdr:rowOff>
    </xdr:from>
    <xdr:to>
      <xdr:col>5</xdr:col>
      <xdr:colOff>38099</xdr:colOff>
      <xdr:row>27</xdr:row>
      <xdr:rowOff>66675</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AA840C66-7EE7-411C-9D2D-460CB113295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822" y="5076825"/>
              <a:ext cx="3343277" cy="647700"/>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133351</xdr:colOff>
      <xdr:row>0</xdr:row>
      <xdr:rowOff>66674</xdr:rowOff>
    </xdr:from>
    <xdr:to>
      <xdr:col>5</xdr:col>
      <xdr:colOff>57150</xdr:colOff>
      <xdr:row>6</xdr:row>
      <xdr:rowOff>142875</xdr:rowOff>
    </xdr:to>
    <mc:AlternateContent xmlns:mc="http://schemas.openxmlformats.org/markup-compatibility/2006" xmlns:tsle="http://schemas.microsoft.com/office/drawing/2012/timeslicer">
      <mc:Choice Requires="tsle">
        <xdr:graphicFrame macro="">
          <xdr:nvGraphicFramePr>
            <xdr:cNvPr id="3" name="Date 1">
              <a:extLst>
                <a:ext uri="{FF2B5EF4-FFF2-40B4-BE49-F238E27FC236}">
                  <a16:creationId xmlns:a16="http://schemas.microsoft.com/office/drawing/2014/main" id="{78F958D0-AD61-4A6C-BA7E-B26254465C7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3351" y="66674"/>
              <a:ext cx="3352799" cy="1333501"/>
            </a:xfrm>
            <a:prstGeom prst="rect">
              <a:avLst/>
            </a:prstGeom>
            <a:solidFill>
              <a:prstClr val="white"/>
            </a:solidFill>
            <a:ln w="1">
              <a:solidFill>
                <a:prstClr val="green"/>
              </a:solidFill>
            </a:ln>
          </xdr:spPr>
          <xdr:txBody>
            <a:bodyPr vertOverflow="clip" horzOverflow="clip"/>
            <a:lstStyle/>
            <a:p>
              <a:r>
                <a:rPr lang="en-SD" sz="1100"/>
                <a:t>Timeline: Works in Excel 2013 or higher. Do not move or resize.</a:t>
              </a:r>
            </a:p>
          </xdr:txBody>
        </xdr:sp>
      </mc:Fallback>
    </mc:AlternateContent>
    <xdr:clientData/>
  </xdr:twoCellAnchor>
  <xdr:twoCellAnchor editAs="oneCell">
    <xdr:from>
      <xdr:col>10</xdr:col>
      <xdr:colOff>142875</xdr:colOff>
      <xdr:row>0</xdr:row>
      <xdr:rowOff>0</xdr:rowOff>
    </xdr:from>
    <xdr:to>
      <xdr:col>16</xdr:col>
      <xdr:colOff>304800</xdr:colOff>
      <xdr:row>3</xdr:row>
      <xdr:rowOff>11485</xdr:rowOff>
    </xdr:to>
    <xdr:pic>
      <xdr:nvPicPr>
        <xdr:cNvPr id="6" name="Picture 5">
          <a:extLst>
            <a:ext uri="{FF2B5EF4-FFF2-40B4-BE49-F238E27FC236}">
              <a16:creationId xmlns:a16="http://schemas.microsoft.com/office/drawing/2014/main" id="{4AFEC661-1EA7-468B-9BE9-8B696F347848}"/>
            </a:ext>
          </a:extLst>
        </xdr:cNvPr>
        <xdr:cNvPicPr>
          <a:picLocks noChangeAspect="1"/>
        </xdr:cNvPicPr>
      </xdr:nvPicPr>
      <xdr:blipFill>
        <a:blip xmlns:r="http://schemas.openxmlformats.org/officeDocument/2006/relationships" r:embed="rId6"/>
        <a:stretch>
          <a:fillRect/>
        </a:stretch>
      </xdr:blipFill>
      <xdr:spPr>
        <a:xfrm>
          <a:off x="7000875" y="0"/>
          <a:ext cx="4276725" cy="640135"/>
        </a:xfrm>
        <a:prstGeom prst="rect">
          <a:avLst/>
        </a:prstGeom>
      </xdr:spPr>
    </xdr:pic>
    <xdr:clientData/>
  </xdr:twoCellAnchor>
  <xdr:twoCellAnchor editAs="oneCell">
    <xdr:from>
      <xdr:col>9</xdr:col>
      <xdr:colOff>542925</xdr:colOff>
      <xdr:row>0</xdr:row>
      <xdr:rowOff>47625</xdr:rowOff>
    </xdr:from>
    <xdr:to>
      <xdr:col>10</xdr:col>
      <xdr:colOff>323850</xdr:colOff>
      <xdr:row>2</xdr:row>
      <xdr:rowOff>95250</xdr:rowOff>
    </xdr:to>
    <xdr:pic>
      <xdr:nvPicPr>
        <xdr:cNvPr id="5" name="Graphic 4" descr="Hospital">
          <a:extLst>
            <a:ext uri="{FF2B5EF4-FFF2-40B4-BE49-F238E27FC236}">
              <a16:creationId xmlns:a16="http://schemas.microsoft.com/office/drawing/2014/main" id="{ABC18BD0-90E6-4C28-83BF-7A1751C0D24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715125" y="47625"/>
          <a:ext cx="466725" cy="4667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28.642994212962" createdVersion="3" refreshedVersion="3" minRefreshableVersion="3" recordCount="262" xr:uid="{00000000-000A-0000-FFFF-FFFF00000000}">
  <cacheSource type="worksheet">
    <worksheetSource name="Table2"/>
  </cacheSource>
  <cacheFields count="5">
    <cacheField name="Date" numFmtId="164">
      <sharedItems containsSemiMixedTypes="0" containsNonDate="0" containsDate="1" containsString="0" minDate="2016-01-04T00:00:00" maxDate="2016-04-01T00:00:00" count="59">
        <d v="2016-01-04T00:00:00"/>
        <d v="2016-01-05T00:00:00"/>
        <d v="2016-01-06T00:00:00"/>
        <d v="2016-01-07T00:00:00"/>
        <d v="2016-01-08T00:00:00"/>
        <d v="2016-01-11T00:00:00"/>
        <d v="2016-01-12T00:00:00"/>
        <d v="2016-01-13T00:00:00"/>
        <d v="2016-01-14T00:00:00"/>
        <d v="2016-01-15T00:00:00"/>
        <d v="2016-01-19T00:00:00"/>
        <d v="2016-01-20T00:00:00"/>
        <d v="2016-01-21T00:00:00"/>
        <d v="2016-01-22T00:00:00"/>
        <d v="2016-01-26T00:00:00"/>
        <d v="2016-01-27T00:00:00"/>
        <d v="2016-01-28T00:00:00"/>
        <d v="2016-02-01T00:00:00"/>
        <d v="2016-02-02T00:00:00"/>
        <d v="2016-02-03T00:00:00"/>
        <d v="2016-02-04T00:00:00"/>
        <d v="2016-02-05T00:00:00"/>
        <d v="2016-02-08T00:00:00"/>
        <d v="2016-02-09T00:00:00"/>
        <d v="2016-02-11T00:00:00"/>
        <d v="2016-02-12T00:00:00"/>
        <d v="2016-02-15T00:00:00"/>
        <d v="2016-02-16T00:00:00"/>
        <d v="2016-02-17T00:00:00"/>
        <d v="2016-02-18T00:00:00"/>
        <d v="2016-02-19T00:00:00"/>
        <d v="2016-02-22T00:00:00"/>
        <d v="2016-02-23T00:00:00"/>
        <d v="2016-02-24T00:00:00"/>
        <d v="2016-02-25T00:00:00"/>
        <d v="2016-02-26T00:00:00"/>
        <d v="2016-02-27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5T00:00:00"/>
        <d v="2016-03-28T00:00:00"/>
        <d v="2016-03-29T00:00:00"/>
        <d v="2016-03-30T00:00:00"/>
        <d v="2016-03-31T00:00:00"/>
      </sharedItems>
    </cacheField>
    <cacheField name="Complaint Type" numFmtId="0">
      <sharedItems count="14">
        <s v="Wait time"/>
        <s v="Lab Wait"/>
        <s v="Cost"/>
        <s v="Hours of Operation"/>
        <s v="Hard to get appointment"/>
        <s v="Lack Information"/>
        <s v="Not Treated with Respect"/>
        <s v="Don't know who to call"/>
        <s v="Parking Issues"/>
        <s v="Lack of Privacy"/>
        <s v="Appearance"/>
        <s v="Employee "/>
        <s v="Don’t know who to call"/>
        <s v="Other"/>
      </sharedItems>
    </cacheField>
    <cacheField name="Date2" numFmtId="0">
      <sharedItems count="6">
        <s v="Monday"/>
        <s v="Tuesday"/>
        <s v="Wednesday"/>
        <s v="Thursday"/>
        <s v="Friday"/>
        <s v="Saturday"/>
      </sharedItems>
    </cacheField>
    <cacheField name="Week" numFmtId="0">
      <sharedItems containsSemiMixedTypes="0" containsString="0" containsNumber="1" containsInteger="1" minValue="2" maxValue="14" count="13">
        <n v="2"/>
        <n v="3"/>
        <n v="4"/>
        <n v="5"/>
        <n v="6"/>
        <n v="7"/>
        <n v="8"/>
        <n v="9"/>
        <n v="10"/>
        <n v="11"/>
        <n v="12"/>
        <n v="13"/>
        <n v="14"/>
      </sharedItems>
    </cacheField>
    <cacheField name="Month" numFmtId="0">
      <sharedItems count="3">
        <s v="January"/>
        <s v="February"/>
        <s v="March"/>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62">
  <r>
    <x v="0"/>
    <x v="0"/>
    <x v="0"/>
    <x v="0"/>
    <x v="0"/>
  </r>
  <r>
    <x v="0"/>
    <x v="0"/>
    <x v="0"/>
    <x v="0"/>
    <x v="0"/>
  </r>
  <r>
    <x v="0"/>
    <x v="1"/>
    <x v="0"/>
    <x v="0"/>
    <x v="0"/>
  </r>
  <r>
    <x v="0"/>
    <x v="2"/>
    <x v="0"/>
    <x v="0"/>
    <x v="0"/>
  </r>
  <r>
    <x v="1"/>
    <x v="3"/>
    <x v="1"/>
    <x v="0"/>
    <x v="0"/>
  </r>
  <r>
    <x v="1"/>
    <x v="3"/>
    <x v="1"/>
    <x v="0"/>
    <x v="0"/>
  </r>
  <r>
    <x v="2"/>
    <x v="4"/>
    <x v="2"/>
    <x v="0"/>
    <x v="0"/>
  </r>
  <r>
    <x v="2"/>
    <x v="5"/>
    <x v="2"/>
    <x v="0"/>
    <x v="0"/>
  </r>
  <r>
    <x v="2"/>
    <x v="6"/>
    <x v="2"/>
    <x v="0"/>
    <x v="0"/>
  </r>
  <r>
    <x v="2"/>
    <x v="2"/>
    <x v="2"/>
    <x v="0"/>
    <x v="0"/>
  </r>
  <r>
    <x v="3"/>
    <x v="7"/>
    <x v="3"/>
    <x v="0"/>
    <x v="0"/>
  </r>
  <r>
    <x v="3"/>
    <x v="7"/>
    <x v="3"/>
    <x v="0"/>
    <x v="0"/>
  </r>
  <r>
    <x v="3"/>
    <x v="5"/>
    <x v="3"/>
    <x v="0"/>
    <x v="0"/>
  </r>
  <r>
    <x v="3"/>
    <x v="0"/>
    <x v="3"/>
    <x v="0"/>
    <x v="0"/>
  </r>
  <r>
    <x v="3"/>
    <x v="3"/>
    <x v="3"/>
    <x v="0"/>
    <x v="0"/>
  </r>
  <r>
    <x v="3"/>
    <x v="0"/>
    <x v="3"/>
    <x v="0"/>
    <x v="0"/>
  </r>
  <r>
    <x v="3"/>
    <x v="6"/>
    <x v="3"/>
    <x v="0"/>
    <x v="0"/>
  </r>
  <r>
    <x v="4"/>
    <x v="8"/>
    <x v="4"/>
    <x v="0"/>
    <x v="0"/>
  </r>
  <r>
    <x v="4"/>
    <x v="9"/>
    <x v="4"/>
    <x v="0"/>
    <x v="0"/>
  </r>
  <r>
    <x v="4"/>
    <x v="6"/>
    <x v="4"/>
    <x v="0"/>
    <x v="0"/>
  </r>
  <r>
    <x v="4"/>
    <x v="0"/>
    <x v="4"/>
    <x v="0"/>
    <x v="0"/>
  </r>
  <r>
    <x v="4"/>
    <x v="0"/>
    <x v="4"/>
    <x v="0"/>
    <x v="0"/>
  </r>
  <r>
    <x v="4"/>
    <x v="0"/>
    <x v="4"/>
    <x v="0"/>
    <x v="0"/>
  </r>
  <r>
    <x v="4"/>
    <x v="5"/>
    <x v="4"/>
    <x v="0"/>
    <x v="0"/>
  </r>
  <r>
    <x v="4"/>
    <x v="1"/>
    <x v="4"/>
    <x v="0"/>
    <x v="0"/>
  </r>
  <r>
    <x v="4"/>
    <x v="10"/>
    <x v="4"/>
    <x v="0"/>
    <x v="0"/>
  </r>
  <r>
    <x v="4"/>
    <x v="1"/>
    <x v="4"/>
    <x v="0"/>
    <x v="0"/>
  </r>
  <r>
    <x v="4"/>
    <x v="0"/>
    <x v="4"/>
    <x v="0"/>
    <x v="0"/>
  </r>
  <r>
    <x v="5"/>
    <x v="4"/>
    <x v="0"/>
    <x v="1"/>
    <x v="0"/>
  </r>
  <r>
    <x v="5"/>
    <x v="3"/>
    <x v="0"/>
    <x v="1"/>
    <x v="0"/>
  </r>
  <r>
    <x v="5"/>
    <x v="0"/>
    <x v="0"/>
    <x v="1"/>
    <x v="0"/>
  </r>
  <r>
    <x v="6"/>
    <x v="0"/>
    <x v="1"/>
    <x v="1"/>
    <x v="0"/>
  </r>
  <r>
    <x v="6"/>
    <x v="2"/>
    <x v="1"/>
    <x v="1"/>
    <x v="0"/>
  </r>
  <r>
    <x v="6"/>
    <x v="6"/>
    <x v="1"/>
    <x v="1"/>
    <x v="0"/>
  </r>
  <r>
    <x v="6"/>
    <x v="6"/>
    <x v="1"/>
    <x v="1"/>
    <x v="0"/>
  </r>
  <r>
    <x v="6"/>
    <x v="5"/>
    <x v="1"/>
    <x v="1"/>
    <x v="0"/>
  </r>
  <r>
    <x v="6"/>
    <x v="7"/>
    <x v="1"/>
    <x v="1"/>
    <x v="0"/>
  </r>
  <r>
    <x v="7"/>
    <x v="0"/>
    <x v="2"/>
    <x v="1"/>
    <x v="0"/>
  </r>
  <r>
    <x v="7"/>
    <x v="0"/>
    <x v="2"/>
    <x v="1"/>
    <x v="0"/>
  </r>
  <r>
    <x v="8"/>
    <x v="0"/>
    <x v="3"/>
    <x v="1"/>
    <x v="0"/>
  </r>
  <r>
    <x v="8"/>
    <x v="0"/>
    <x v="3"/>
    <x v="1"/>
    <x v="0"/>
  </r>
  <r>
    <x v="8"/>
    <x v="0"/>
    <x v="3"/>
    <x v="1"/>
    <x v="0"/>
  </r>
  <r>
    <x v="8"/>
    <x v="0"/>
    <x v="3"/>
    <x v="1"/>
    <x v="0"/>
  </r>
  <r>
    <x v="9"/>
    <x v="4"/>
    <x v="4"/>
    <x v="1"/>
    <x v="0"/>
  </r>
  <r>
    <x v="9"/>
    <x v="6"/>
    <x v="4"/>
    <x v="1"/>
    <x v="0"/>
  </r>
  <r>
    <x v="9"/>
    <x v="3"/>
    <x v="4"/>
    <x v="1"/>
    <x v="0"/>
  </r>
  <r>
    <x v="9"/>
    <x v="0"/>
    <x v="4"/>
    <x v="1"/>
    <x v="0"/>
  </r>
  <r>
    <x v="9"/>
    <x v="5"/>
    <x v="4"/>
    <x v="1"/>
    <x v="0"/>
  </r>
  <r>
    <x v="10"/>
    <x v="5"/>
    <x v="1"/>
    <x v="2"/>
    <x v="0"/>
  </r>
  <r>
    <x v="10"/>
    <x v="8"/>
    <x v="1"/>
    <x v="2"/>
    <x v="0"/>
  </r>
  <r>
    <x v="11"/>
    <x v="9"/>
    <x v="2"/>
    <x v="2"/>
    <x v="0"/>
  </r>
  <r>
    <x v="12"/>
    <x v="2"/>
    <x v="3"/>
    <x v="2"/>
    <x v="0"/>
  </r>
  <r>
    <x v="12"/>
    <x v="2"/>
    <x v="3"/>
    <x v="2"/>
    <x v="0"/>
  </r>
  <r>
    <x v="12"/>
    <x v="6"/>
    <x v="3"/>
    <x v="2"/>
    <x v="0"/>
  </r>
  <r>
    <x v="13"/>
    <x v="6"/>
    <x v="4"/>
    <x v="2"/>
    <x v="0"/>
  </r>
  <r>
    <x v="13"/>
    <x v="6"/>
    <x v="4"/>
    <x v="2"/>
    <x v="0"/>
  </r>
  <r>
    <x v="13"/>
    <x v="0"/>
    <x v="4"/>
    <x v="2"/>
    <x v="0"/>
  </r>
  <r>
    <x v="13"/>
    <x v="7"/>
    <x v="4"/>
    <x v="2"/>
    <x v="0"/>
  </r>
  <r>
    <x v="13"/>
    <x v="5"/>
    <x v="4"/>
    <x v="2"/>
    <x v="0"/>
  </r>
  <r>
    <x v="14"/>
    <x v="5"/>
    <x v="1"/>
    <x v="3"/>
    <x v="0"/>
  </r>
  <r>
    <x v="14"/>
    <x v="11"/>
    <x v="1"/>
    <x v="3"/>
    <x v="0"/>
  </r>
  <r>
    <x v="14"/>
    <x v="6"/>
    <x v="1"/>
    <x v="3"/>
    <x v="0"/>
  </r>
  <r>
    <x v="14"/>
    <x v="6"/>
    <x v="1"/>
    <x v="3"/>
    <x v="0"/>
  </r>
  <r>
    <x v="14"/>
    <x v="0"/>
    <x v="1"/>
    <x v="3"/>
    <x v="0"/>
  </r>
  <r>
    <x v="15"/>
    <x v="3"/>
    <x v="2"/>
    <x v="3"/>
    <x v="0"/>
  </r>
  <r>
    <x v="15"/>
    <x v="4"/>
    <x v="2"/>
    <x v="3"/>
    <x v="0"/>
  </r>
  <r>
    <x v="15"/>
    <x v="12"/>
    <x v="2"/>
    <x v="3"/>
    <x v="0"/>
  </r>
  <r>
    <x v="16"/>
    <x v="5"/>
    <x v="3"/>
    <x v="3"/>
    <x v="0"/>
  </r>
  <r>
    <x v="16"/>
    <x v="0"/>
    <x v="3"/>
    <x v="3"/>
    <x v="0"/>
  </r>
  <r>
    <x v="17"/>
    <x v="4"/>
    <x v="0"/>
    <x v="4"/>
    <x v="1"/>
  </r>
  <r>
    <x v="17"/>
    <x v="6"/>
    <x v="0"/>
    <x v="4"/>
    <x v="1"/>
  </r>
  <r>
    <x v="17"/>
    <x v="5"/>
    <x v="0"/>
    <x v="4"/>
    <x v="1"/>
  </r>
  <r>
    <x v="18"/>
    <x v="6"/>
    <x v="1"/>
    <x v="4"/>
    <x v="1"/>
  </r>
  <r>
    <x v="18"/>
    <x v="0"/>
    <x v="1"/>
    <x v="4"/>
    <x v="1"/>
  </r>
  <r>
    <x v="18"/>
    <x v="0"/>
    <x v="1"/>
    <x v="4"/>
    <x v="1"/>
  </r>
  <r>
    <x v="19"/>
    <x v="3"/>
    <x v="2"/>
    <x v="4"/>
    <x v="1"/>
  </r>
  <r>
    <x v="19"/>
    <x v="8"/>
    <x v="2"/>
    <x v="4"/>
    <x v="1"/>
  </r>
  <r>
    <x v="19"/>
    <x v="5"/>
    <x v="2"/>
    <x v="4"/>
    <x v="1"/>
  </r>
  <r>
    <x v="19"/>
    <x v="5"/>
    <x v="2"/>
    <x v="4"/>
    <x v="1"/>
  </r>
  <r>
    <x v="19"/>
    <x v="0"/>
    <x v="2"/>
    <x v="4"/>
    <x v="1"/>
  </r>
  <r>
    <x v="20"/>
    <x v="6"/>
    <x v="3"/>
    <x v="4"/>
    <x v="1"/>
  </r>
  <r>
    <x v="21"/>
    <x v="5"/>
    <x v="4"/>
    <x v="4"/>
    <x v="1"/>
  </r>
  <r>
    <x v="21"/>
    <x v="6"/>
    <x v="4"/>
    <x v="4"/>
    <x v="1"/>
  </r>
  <r>
    <x v="21"/>
    <x v="3"/>
    <x v="4"/>
    <x v="4"/>
    <x v="1"/>
  </r>
  <r>
    <x v="21"/>
    <x v="1"/>
    <x v="4"/>
    <x v="4"/>
    <x v="1"/>
  </r>
  <r>
    <x v="21"/>
    <x v="0"/>
    <x v="4"/>
    <x v="4"/>
    <x v="1"/>
  </r>
  <r>
    <x v="21"/>
    <x v="0"/>
    <x v="4"/>
    <x v="4"/>
    <x v="1"/>
  </r>
  <r>
    <x v="22"/>
    <x v="2"/>
    <x v="0"/>
    <x v="5"/>
    <x v="1"/>
  </r>
  <r>
    <x v="22"/>
    <x v="7"/>
    <x v="0"/>
    <x v="5"/>
    <x v="1"/>
  </r>
  <r>
    <x v="22"/>
    <x v="6"/>
    <x v="0"/>
    <x v="5"/>
    <x v="1"/>
  </r>
  <r>
    <x v="23"/>
    <x v="5"/>
    <x v="1"/>
    <x v="5"/>
    <x v="1"/>
  </r>
  <r>
    <x v="23"/>
    <x v="13"/>
    <x v="1"/>
    <x v="5"/>
    <x v="1"/>
  </r>
  <r>
    <x v="23"/>
    <x v="9"/>
    <x v="1"/>
    <x v="5"/>
    <x v="1"/>
  </r>
  <r>
    <x v="23"/>
    <x v="9"/>
    <x v="1"/>
    <x v="5"/>
    <x v="1"/>
  </r>
  <r>
    <x v="23"/>
    <x v="6"/>
    <x v="1"/>
    <x v="5"/>
    <x v="1"/>
  </r>
  <r>
    <x v="24"/>
    <x v="0"/>
    <x v="3"/>
    <x v="5"/>
    <x v="1"/>
  </r>
  <r>
    <x v="24"/>
    <x v="0"/>
    <x v="3"/>
    <x v="5"/>
    <x v="1"/>
  </r>
  <r>
    <x v="24"/>
    <x v="0"/>
    <x v="3"/>
    <x v="5"/>
    <x v="1"/>
  </r>
  <r>
    <x v="24"/>
    <x v="0"/>
    <x v="3"/>
    <x v="5"/>
    <x v="1"/>
  </r>
  <r>
    <x v="25"/>
    <x v="4"/>
    <x v="4"/>
    <x v="5"/>
    <x v="1"/>
  </r>
  <r>
    <x v="25"/>
    <x v="7"/>
    <x v="4"/>
    <x v="5"/>
    <x v="1"/>
  </r>
  <r>
    <x v="26"/>
    <x v="6"/>
    <x v="0"/>
    <x v="6"/>
    <x v="1"/>
  </r>
  <r>
    <x v="27"/>
    <x v="0"/>
    <x v="1"/>
    <x v="6"/>
    <x v="1"/>
  </r>
  <r>
    <x v="28"/>
    <x v="0"/>
    <x v="2"/>
    <x v="6"/>
    <x v="1"/>
  </r>
  <r>
    <x v="28"/>
    <x v="2"/>
    <x v="2"/>
    <x v="6"/>
    <x v="1"/>
  </r>
  <r>
    <x v="28"/>
    <x v="5"/>
    <x v="2"/>
    <x v="6"/>
    <x v="1"/>
  </r>
  <r>
    <x v="29"/>
    <x v="6"/>
    <x v="3"/>
    <x v="6"/>
    <x v="1"/>
  </r>
  <r>
    <x v="30"/>
    <x v="1"/>
    <x v="4"/>
    <x v="6"/>
    <x v="1"/>
  </r>
  <r>
    <x v="31"/>
    <x v="6"/>
    <x v="0"/>
    <x v="7"/>
    <x v="1"/>
  </r>
  <r>
    <x v="31"/>
    <x v="10"/>
    <x v="0"/>
    <x v="7"/>
    <x v="1"/>
  </r>
  <r>
    <x v="31"/>
    <x v="2"/>
    <x v="0"/>
    <x v="7"/>
    <x v="1"/>
  </r>
  <r>
    <x v="31"/>
    <x v="2"/>
    <x v="0"/>
    <x v="7"/>
    <x v="1"/>
  </r>
  <r>
    <x v="32"/>
    <x v="5"/>
    <x v="1"/>
    <x v="7"/>
    <x v="1"/>
  </r>
  <r>
    <x v="33"/>
    <x v="5"/>
    <x v="2"/>
    <x v="7"/>
    <x v="1"/>
  </r>
  <r>
    <x v="33"/>
    <x v="6"/>
    <x v="2"/>
    <x v="7"/>
    <x v="1"/>
  </r>
  <r>
    <x v="33"/>
    <x v="6"/>
    <x v="2"/>
    <x v="7"/>
    <x v="1"/>
  </r>
  <r>
    <x v="34"/>
    <x v="5"/>
    <x v="3"/>
    <x v="7"/>
    <x v="1"/>
  </r>
  <r>
    <x v="34"/>
    <x v="7"/>
    <x v="3"/>
    <x v="7"/>
    <x v="1"/>
  </r>
  <r>
    <x v="34"/>
    <x v="3"/>
    <x v="3"/>
    <x v="7"/>
    <x v="1"/>
  </r>
  <r>
    <x v="34"/>
    <x v="0"/>
    <x v="3"/>
    <x v="7"/>
    <x v="1"/>
  </r>
  <r>
    <x v="35"/>
    <x v="0"/>
    <x v="4"/>
    <x v="7"/>
    <x v="1"/>
  </r>
  <r>
    <x v="35"/>
    <x v="4"/>
    <x v="4"/>
    <x v="7"/>
    <x v="1"/>
  </r>
  <r>
    <x v="36"/>
    <x v="4"/>
    <x v="5"/>
    <x v="7"/>
    <x v="1"/>
  </r>
  <r>
    <x v="37"/>
    <x v="6"/>
    <x v="1"/>
    <x v="8"/>
    <x v="2"/>
  </r>
  <r>
    <x v="37"/>
    <x v="6"/>
    <x v="1"/>
    <x v="8"/>
    <x v="2"/>
  </r>
  <r>
    <x v="37"/>
    <x v="5"/>
    <x v="1"/>
    <x v="8"/>
    <x v="2"/>
  </r>
  <r>
    <x v="37"/>
    <x v="7"/>
    <x v="1"/>
    <x v="8"/>
    <x v="2"/>
  </r>
  <r>
    <x v="37"/>
    <x v="6"/>
    <x v="1"/>
    <x v="8"/>
    <x v="2"/>
  </r>
  <r>
    <x v="37"/>
    <x v="6"/>
    <x v="1"/>
    <x v="8"/>
    <x v="2"/>
  </r>
  <r>
    <x v="37"/>
    <x v="0"/>
    <x v="1"/>
    <x v="8"/>
    <x v="2"/>
  </r>
  <r>
    <x v="38"/>
    <x v="4"/>
    <x v="2"/>
    <x v="8"/>
    <x v="2"/>
  </r>
  <r>
    <x v="38"/>
    <x v="4"/>
    <x v="2"/>
    <x v="8"/>
    <x v="2"/>
  </r>
  <r>
    <x v="38"/>
    <x v="6"/>
    <x v="2"/>
    <x v="8"/>
    <x v="2"/>
  </r>
  <r>
    <x v="39"/>
    <x v="5"/>
    <x v="3"/>
    <x v="8"/>
    <x v="2"/>
  </r>
  <r>
    <x v="39"/>
    <x v="5"/>
    <x v="3"/>
    <x v="8"/>
    <x v="2"/>
  </r>
  <r>
    <x v="39"/>
    <x v="6"/>
    <x v="3"/>
    <x v="8"/>
    <x v="2"/>
  </r>
  <r>
    <x v="39"/>
    <x v="0"/>
    <x v="3"/>
    <x v="8"/>
    <x v="2"/>
  </r>
  <r>
    <x v="39"/>
    <x v="0"/>
    <x v="3"/>
    <x v="8"/>
    <x v="2"/>
  </r>
  <r>
    <x v="39"/>
    <x v="2"/>
    <x v="3"/>
    <x v="8"/>
    <x v="2"/>
  </r>
  <r>
    <x v="39"/>
    <x v="7"/>
    <x v="3"/>
    <x v="8"/>
    <x v="2"/>
  </r>
  <r>
    <x v="39"/>
    <x v="7"/>
    <x v="3"/>
    <x v="8"/>
    <x v="2"/>
  </r>
  <r>
    <x v="39"/>
    <x v="7"/>
    <x v="3"/>
    <x v="8"/>
    <x v="2"/>
  </r>
  <r>
    <x v="39"/>
    <x v="5"/>
    <x v="3"/>
    <x v="8"/>
    <x v="2"/>
  </r>
  <r>
    <x v="40"/>
    <x v="0"/>
    <x v="4"/>
    <x v="8"/>
    <x v="2"/>
  </r>
  <r>
    <x v="40"/>
    <x v="0"/>
    <x v="4"/>
    <x v="8"/>
    <x v="2"/>
  </r>
  <r>
    <x v="40"/>
    <x v="0"/>
    <x v="4"/>
    <x v="8"/>
    <x v="2"/>
  </r>
  <r>
    <x v="41"/>
    <x v="3"/>
    <x v="0"/>
    <x v="9"/>
    <x v="2"/>
  </r>
  <r>
    <x v="41"/>
    <x v="4"/>
    <x v="0"/>
    <x v="9"/>
    <x v="2"/>
  </r>
  <r>
    <x v="41"/>
    <x v="5"/>
    <x v="0"/>
    <x v="9"/>
    <x v="2"/>
  </r>
  <r>
    <x v="41"/>
    <x v="0"/>
    <x v="0"/>
    <x v="9"/>
    <x v="2"/>
  </r>
  <r>
    <x v="41"/>
    <x v="6"/>
    <x v="0"/>
    <x v="9"/>
    <x v="2"/>
  </r>
  <r>
    <x v="41"/>
    <x v="13"/>
    <x v="0"/>
    <x v="9"/>
    <x v="2"/>
  </r>
  <r>
    <x v="42"/>
    <x v="7"/>
    <x v="1"/>
    <x v="9"/>
    <x v="2"/>
  </r>
  <r>
    <x v="42"/>
    <x v="6"/>
    <x v="1"/>
    <x v="9"/>
    <x v="2"/>
  </r>
  <r>
    <x v="42"/>
    <x v="10"/>
    <x v="1"/>
    <x v="9"/>
    <x v="2"/>
  </r>
  <r>
    <x v="42"/>
    <x v="5"/>
    <x v="1"/>
    <x v="9"/>
    <x v="2"/>
  </r>
  <r>
    <x v="42"/>
    <x v="5"/>
    <x v="1"/>
    <x v="9"/>
    <x v="2"/>
  </r>
  <r>
    <x v="42"/>
    <x v="6"/>
    <x v="1"/>
    <x v="9"/>
    <x v="2"/>
  </r>
  <r>
    <x v="42"/>
    <x v="0"/>
    <x v="1"/>
    <x v="9"/>
    <x v="2"/>
  </r>
  <r>
    <x v="42"/>
    <x v="0"/>
    <x v="1"/>
    <x v="9"/>
    <x v="2"/>
  </r>
  <r>
    <x v="42"/>
    <x v="4"/>
    <x v="1"/>
    <x v="9"/>
    <x v="2"/>
  </r>
  <r>
    <x v="43"/>
    <x v="7"/>
    <x v="2"/>
    <x v="9"/>
    <x v="2"/>
  </r>
  <r>
    <x v="43"/>
    <x v="7"/>
    <x v="2"/>
    <x v="9"/>
    <x v="2"/>
  </r>
  <r>
    <x v="43"/>
    <x v="5"/>
    <x v="2"/>
    <x v="9"/>
    <x v="2"/>
  </r>
  <r>
    <x v="43"/>
    <x v="5"/>
    <x v="2"/>
    <x v="9"/>
    <x v="2"/>
  </r>
  <r>
    <x v="43"/>
    <x v="5"/>
    <x v="2"/>
    <x v="9"/>
    <x v="2"/>
  </r>
  <r>
    <x v="43"/>
    <x v="6"/>
    <x v="2"/>
    <x v="9"/>
    <x v="2"/>
  </r>
  <r>
    <x v="44"/>
    <x v="0"/>
    <x v="3"/>
    <x v="9"/>
    <x v="2"/>
  </r>
  <r>
    <x v="44"/>
    <x v="2"/>
    <x v="3"/>
    <x v="9"/>
    <x v="2"/>
  </r>
  <r>
    <x v="44"/>
    <x v="7"/>
    <x v="3"/>
    <x v="9"/>
    <x v="2"/>
  </r>
  <r>
    <x v="45"/>
    <x v="5"/>
    <x v="4"/>
    <x v="9"/>
    <x v="2"/>
  </r>
  <r>
    <x v="45"/>
    <x v="9"/>
    <x v="4"/>
    <x v="9"/>
    <x v="2"/>
  </r>
  <r>
    <x v="45"/>
    <x v="6"/>
    <x v="4"/>
    <x v="9"/>
    <x v="2"/>
  </r>
  <r>
    <x v="45"/>
    <x v="0"/>
    <x v="4"/>
    <x v="9"/>
    <x v="2"/>
  </r>
  <r>
    <x v="45"/>
    <x v="4"/>
    <x v="4"/>
    <x v="9"/>
    <x v="2"/>
  </r>
  <r>
    <x v="45"/>
    <x v="7"/>
    <x v="4"/>
    <x v="9"/>
    <x v="2"/>
  </r>
  <r>
    <x v="46"/>
    <x v="7"/>
    <x v="0"/>
    <x v="10"/>
    <x v="2"/>
  </r>
  <r>
    <x v="46"/>
    <x v="6"/>
    <x v="0"/>
    <x v="10"/>
    <x v="2"/>
  </r>
  <r>
    <x v="46"/>
    <x v="5"/>
    <x v="0"/>
    <x v="10"/>
    <x v="2"/>
  </r>
  <r>
    <x v="47"/>
    <x v="0"/>
    <x v="1"/>
    <x v="10"/>
    <x v="2"/>
  </r>
  <r>
    <x v="47"/>
    <x v="0"/>
    <x v="1"/>
    <x v="10"/>
    <x v="2"/>
  </r>
  <r>
    <x v="48"/>
    <x v="0"/>
    <x v="2"/>
    <x v="10"/>
    <x v="2"/>
  </r>
  <r>
    <x v="48"/>
    <x v="0"/>
    <x v="2"/>
    <x v="10"/>
    <x v="2"/>
  </r>
  <r>
    <x v="48"/>
    <x v="0"/>
    <x v="2"/>
    <x v="10"/>
    <x v="2"/>
  </r>
  <r>
    <x v="48"/>
    <x v="0"/>
    <x v="2"/>
    <x v="10"/>
    <x v="2"/>
  </r>
  <r>
    <x v="48"/>
    <x v="0"/>
    <x v="2"/>
    <x v="10"/>
    <x v="2"/>
  </r>
  <r>
    <x v="48"/>
    <x v="0"/>
    <x v="2"/>
    <x v="10"/>
    <x v="2"/>
  </r>
  <r>
    <x v="48"/>
    <x v="0"/>
    <x v="2"/>
    <x v="10"/>
    <x v="2"/>
  </r>
  <r>
    <x v="49"/>
    <x v="0"/>
    <x v="3"/>
    <x v="10"/>
    <x v="2"/>
  </r>
  <r>
    <x v="49"/>
    <x v="6"/>
    <x v="3"/>
    <x v="10"/>
    <x v="2"/>
  </r>
  <r>
    <x v="49"/>
    <x v="5"/>
    <x v="3"/>
    <x v="10"/>
    <x v="2"/>
  </r>
  <r>
    <x v="49"/>
    <x v="7"/>
    <x v="3"/>
    <x v="10"/>
    <x v="2"/>
  </r>
  <r>
    <x v="49"/>
    <x v="6"/>
    <x v="3"/>
    <x v="10"/>
    <x v="2"/>
  </r>
  <r>
    <x v="49"/>
    <x v="3"/>
    <x v="3"/>
    <x v="10"/>
    <x v="2"/>
  </r>
  <r>
    <x v="49"/>
    <x v="8"/>
    <x v="3"/>
    <x v="10"/>
    <x v="2"/>
  </r>
  <r>
    <x v="49"/>
    <x v="5"/>
    <x v="3"/>
    <x v="10"/>
    <x v="2"/>
  </r>
  <r>
    <x v="49"/>
    <x v="6"/>
    <x v="3"/>
    <x v="10"/>
    <x v="2"/>
  </r>
  <r>
    <x v="49"/>
    <x v="7"/>
    <x v="3"/>
    <x v="10"/>
    <x v="2"/>
  </r>
  <r>
    <x v="50"/>
    <x v="5"/>
    <x v="4"/>
    <x v="10"/>
    <x v="2"/>
  </r>
  <r>
    <x v="50"/>
    <x v="3"/>
    <x v="4"/>
    <x v="10"/>
    <x v="2"/>
  </r>
  <r>
    <x v="50"/>
    <x v="4"/>
    <x v="4"/>
    <x v="10"/>
    <x v="2"/>
  </r>
  <r>
    <x v="50"/>
    <x v="6"/>
    <x v="4"/>
    <x v="10"/>
    <x v="2"/>
  </r>
  <r>
    <x v="51"/>
    <x v="6"/>
    <x v="0"/>
    <x v="11"/>
    <x v="2"/>
  </r>
  <r>
    <x v="51"/>
    <x v="7"/>
    <x v="0"/>
    <x v="11"/>
    <x v="2"/>
  </r>
  <r>
    <x v="51"/>
    <x v="7"/>
    <x v="0"/>
    <x v="11"/>
    <x v="2"/>
  </r>
  <r>
    <x v="51"/>
    <x v="6"/>
    <x v="0"/>
    <x v="11"/>
    <x v="2"/>
  </r>
  <r>
    <x v="51"/>
    <x v="5"/>
    <x v="0"/>
    <x v="11"/>
    <x v="2"/>
  </r>
  <r>
    <x v="51"/>
    <x v="5"/>
    <x v="0"/>
    <x v="11"/>
    <x v="2"/>
  </r>
  <r>
    <x v="51"/>
    <x v="5"/>
    <x v="0"/>
    <x v="11"/>
    <x v="2"/>
  </r>
  <r>
    <x v="52"/>
    <x v="0"/>
    <x v="1"/>
    <x v="11"/>
    <x v="2"/>
  </r>
  <r>
    <x v="52"/>
    <x v="0"/>
    <x v="1"/>
    <x v="11"/>
    <x v="2"/>
  </r>
  <r>
    <x v="52"/>
    <x v="0"/>
    <x v="1"/>
    <x v="11"/>
    <x v="2"/>
  </r>
  <r>
    <x v="52"/>
    <x v="6"/>
    <x v="1"/>
    <x v="11"/>
    <x v="2"/>
  </r>
  <r>
    <x v="52"/>
    <x v="5"/>
    <x v="1"/>
    <x v="11"/>
    <x v="2"/>
  </r>
  <r>
    <x v="52"/>
    <x v="2"/>
    <x v="1"/>
    <x v="11"/>
    <x v="2"/>
  </r>
  <r>
    <x v="53"/>
    <x v="4"/>
    <x v="2"/>
    <x v="11"/>
    <x v="2"/>
  </r>
  <r>
    <x v="53"/>
    <x v="7"/>
    <x v="2"/>
    <x v="11"/>
    <x v="2"/>
  </r>
  <r>
    <x v="54"/>
    <x v="0"/>
    <x v="4"/>
    <x v="11"/>
    <x v="2"/>
  </r>
  <r>
    <x v="54"/>
    <x v="0"/>
    <x v="4"/>
    <x v="11"/>
    <x v="2"/>
  </r>
  <r>
    <x v="54"/>
    <x v="10"/>
    <x v="4"/>
    <x v="11"/>
    <x v="2"/>
  </r>
  <r>
    <x v="54"/>
    <x v="3"/>
    <x v="4"/>
    <x v="11"/>
    <x v="2"/>
  </r>
  <r>
    <x v="54"/>
    <x v="6"/>
    <x v="4"/>
    <x v="11"/>
    <x v="2"/>
  </r>
  <r>
    <x v="54"/>
    <x v="5"/>
    <x v="4"/>
    <x v="11"/>
    <x v="2"/>
  </r>
  <r>
    <x v="54"/>
    <x v="5"/>
    <x v="4"/>
    <x v="11"/>
    <x v="2"/>
  </r>
  <r>
    <x v="54"/>
    <x v="6"/>
    <x v="4"/>
    <x v="11"/>
    <x v="2"/>
  </r>
  <r>
    <x v="54"/>
    <x v="7"/>
    <x v="4"/>
    <x v="11"/>
    <x v="2"/>
  </r>
  <r>
    <x v="54"/>
    <x v="6"/>
    <x v="4"/>
    <x v="11"/>
    <x v="2"/>
  </r>
  <r>
    <x v="55"/>
    <x v="4"/>
    <x v="0"/>
    <x v="12"/>
    <x v="2"/>
  </r>
  <r>
    <x v="55"/>
    <x v="0"/>
    <x v="0"/>
    <x v="12"/>
    <x v="2"/>
  </r>
  <r>
    <x v="55"/>
    <x v="0"/>
    <x v="0"/>
    <x v="12"/>
    <x v="2"/>
  </r>
  <r>
    <x v="55"/>
    <x v="5"/>
    <x v="0"/>
    <x v="12"/>
    <x v="2"/>
  </r>
  <r>
    <x v="55"/>
    <x v="5"/>
    <x v="0"/>
    <x v="12"/>
    <x v="2"/>
  </r>
  <r>
    <x v="55"/>
    <x v="13"/>
    <x v="0"/>
    <x v="12"/>
    <x v="2"/>
  </r>
  <r>
    <x v="55"/>
    <x v="7"/>
    <x v="0"/>
    <x v="12"/>
    <x v="2"/>
  </r>
  <r>
    <x v="55"/>
    <x v="0"/>
    <x v="0"/>
    <x v="12"/>
    <x v="2"/>
  </r>
  <r>
    <x v="56"/>
    <x v="3"/>
    <x v="1"/>
    <x v="12"/>
    <x v="2"/>
  </r>
  <r>
    <x v="56"/>
    <x v="6"/>
    <x v="1"/>
    <x v="12"/>
    <x v="2"/>
  </r>
  <r>
    <x v="56"/>
    <x v="5"/>
    <x v="1"/>
    <x v="12"/>
    <x v="2"/>
  </r>
  <r>
    <x v="56"/>
    <x v="7"/>
    <x v="1"/>
    <x v="12"/>
    <x v="2"/>
  </r>
  <r>
    <x v="56"/>
    <x v="4"/>
    <x v="1"/>
    <x v="12"/>
    <x v="2"/>
  </r>
  <r>
    <x v="56"/>
    <x v="6"/>
    <x v="1"/>
    <x v="12"/>
    <x v="2"/>
  </r>
  <r>
    <x v="56"/>
    <x v="6"/>
    <x v="1"/>
    <x v="12"/>
    <x v="2"/>
  </r>
  <r>
    <x v="56"/>
    <x v="0"/>
    <x v="1"/>
    <x v="12"/>
    <x v="2"/>
  </r>
  <r>
    <x v="56"/>
    <x v="6"/>
    <x v="1"/>
    <x v="12"/>
    <x v="2"/>
  </r>
  <r>
    <x v="56"/>
    <x v="7"/>
    <x v="1"/>
    <x v="12"/>
    <x v="2"/>
  </r>
  <r>
    <x v="57"/>
    <x v="6"/>
    <x v="2"/>
    <x v="12"/>
    <x v="2"/>
  </r>
  <r>
    <x v="57"/>
    <x v="6"/>
    <x v="2"/>
    <x v="12"/>
    <x v="2"/>
  </r>
  <r>
    <x v="57"/>
    <x v="0"/>
    <x v="2"/>
    <x v="12"/>
    <x v="2"/>
  </r>
  <r>
    <x v="57"/>
    <x v="6"/>
    <x v="2"/>
    <x v="12"/>
    <x v="2"/>
  </r>
  <r>
    <x v="57"/>
    <x v="6"/>
    <x v="2"/>
    <x v="12"/>
    <x v="2"/>
  </r>
  <r>
    <x v="57"/>
    <x v="7"/>
    <x v="2"/>
    <x v="12"/>
    <x v="2"/>
  </r>
  <r>
    <x v="57"/>
    <x v="7"/>
    <x v="2"/>
    <x v="12"/>
    <x v="2"/>
  </r>
  <r>
    <x v="57"/>
    <x v="0"/>
    <x v="2"/>
    <x v="12"/>
    <x v="2"/>
  </r>
  <r>
    <x v="58"/>
    <x v="0"/>
    <x v="3"/>
    <x v="12"/>
    <x v="2"/>
  </r>
  <r>
    <x v="58"/>
    <x v="0"/>
    <x v="3"/>
    <x v="12"/>
    <x v="2"/>
  </r>
  <r>
    <x v="58"/>
    <x v="0"/>
    <x v="3"/>
    <x v="12"/>
    <x v="2"/>
  </r>
  <r>
    <x v="58"/>
    <x v="6"/>
    <x v="3"/>
    <x v="12"/>
    <x v="2"/>
  </r>
  <r>
    <x v="58"/>
    <x v="6"/>
    <x v="3"/>
    <x v="12"/>
    <x v="2"/>
  </r>
  <r>
    <x v="58"/>
    <x v="3"/>
    <x v="3"/>
    <x v="12"/>
    <x v="2"/>
  </r>
  <r>
    <x v="58"/>
    <x v="6"/>
    <x v="3"/>
    <x v="12"/>
    <x v="2"/>
  </r>
  <r>
    <x v="58"/>
    <x v="6"/>
    <x v="3"/>
    <x v="12"/>
    <x v="2"/>
  </r>
  <r>
    <x v="58"/>
    <x v="7"/>
    <x v="3"/>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6" cacheId="0" applyNumberFormats="0" applyBorderFormats="0" applyFontFormats="0" applyPatternFormats="0" applyAlignmentFormats="0" applyWidthHeightFormats="1" dataCaption="Values" updatedVersion="6" minRefreshableVersion="5" showCalcMbrs="0" useAutoFormatting="1" itemPrintTitles="1" createdVersion="3" indent="0" outline="1" outlineData="1" multipleFieldFilters="0" chartFormat="14">
  <location ref="A92:B106" firstHeaderRow="1" firstDataRow="1" firstDataCol="1"/>
  <pivotFields count="5">
    <pivotField numFmtId="16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dataField="1" showAll="0">
      <items count="15">
        <item x="10"/>
        <item x="2"/>
        <item x="12"/>
        <item x="7"/>
        <item x="11"/>
        <item x="4"/>
        <item x="3"/>
        <item x="1"/>
        <item x="5"/>
        <item x="9"/>
        <item x="6"/>
        <item x="13"/>
        <item x="8"/>
        <item x="0"/>
        <item t="default"/>
      </items>
    </pivotField>
    <pivotField showAll="0">
      <items count="7">
        <item x="0"/>
        <item x="1"/>
        <item x="2"/>
        <item x="3"/>
        <item x="4"/>
        <item x="5"/>
        <item t="default"/>
      </items>
    </pivotField>
    <pivotField axis="axisRow" showAll="0">
      <items count="14">
        <item x="0"/>
        <item x="1"/>
        <item x="2"/>
        <item x="3"/>
        <item x="4"/>
        <item x="5"/>
        <item x="6"/>
        <item x="7"/>
        <item x="8"/>
        <item x="9"/>
        <item x="10"/>
        <item x="11"/>
        <item x="12"/>
        <item t="default"/>
      </items>
    </pivotField>
    <pivotField showAll="0">
      <items count="4">
        <item x="0"/>
        <item x="1"/>
        <item x="2"/>
        <item t="default"/>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Count of Complaint Type" fld="1" subtotal="count" baseField="0" baseItem="0"/>
  </dataFields>
  <chartFormats count="3">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5" cacheId="0" applyNumberFormats="0" applyBorderFormats="0" applyFontFormats="0" applyPatternFormats="0" applyAlignmentFormats="0" applyWidthHeightFormats="1" dataCaption="Values" updatedVersion="6" minRefreshableVersion="5" showCalcMbrs="0" useAutoFormatting="1" itemPrintTitles="1" createdVersion="3" indent="0" outline="1" outlineData="1" multipleFieldFilters="0" chartFormat="14">
  <location ref="A84:B88" firstHeaderRow="1" firstDataRow="1" firstDataCol="1"/>
  <pivotFields count="5">
    <pivotField numFmtId="16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dataField="1" showAll="0">
      <items count="15">
        <item x="10"/>
        <item x="2"/>
        <item x="12"/>
        <item x="7"/>
        <item x="11"/>
        <item x="4"/>
        <item x="3"/>
        <item x="1"/>
        <item x="5"/>
        <item x="9"/>
        <item x="6"/>
        <item x="13"/>
        <item x="8"/>
        <item x="0"/>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axis="axisRow" showAll="0">
      <items count="4">
        <item x="0"/>
        <item x="1"/>
        <item x="2"/>
        <item t="default"/>
      </items>
    </pivotField>
  </pivotFields>
  <rowFields count="1">
    <field x="4"/>
  </rowFields>
  <rowItems count="4">
    <i>
      <x/>
    </i>
    <i>
      <x v="1"/>
    </i>
    <i>
      <x v="2"/>
    </i>
    <i t="grand">
      <x/>
    </i>
  </rowItems>
  <colItems count="1">
    <i/>
  </colItems>
  <dataFields count="1">
    <dataField name="Count of Complaint Type" fld="1" subtotal="count" baseField="0" baseItem="0"/>
  </dataFields>
  <chartFormats count="13">
    <chartFormat chart="5"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4" count="1" selected="0">
            <x v="0"/>
          </reference>
        </references>
      </pivotArea>
    </chartFormat>
    <chartFormat chart="10" format="3">
      <pivotArea type="data" outline="0" fieldPosition="0">
        <references count="2">
          <reference field="4294967294" count="1" selected="0">
            <x v="0"/>
          </reference>
          <reference field="4" count="1" selected="0">
            <x v="1"/>
          </reference>
        </references>
      </pivotArea>
    </chartFormat>
    <chartFormat chart="10" format="4">
      <pivotArea type="data" outline="0" fieldPosition="0">
        <references count="2">
          <reference field="4294967294" count="1" selected="0">
            <x v="0"/>
          </reference>
          <reference field="4"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0"/>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pivotArea type="data" outline="0" fieldPosition="0">
        <references count="2">
          <reference field="4294967294" count="1" selected="0">
            <x v="0"/>
          </reference>
          <reference field="4" count="1" selected="0">
            <x v="2"/>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0" applyNumberFormats="0" applyBorderFormats="0" applyFontFormats="0" applyPatternFormats="0" applyAlignmentFormats="0" applyWidthHeightFormats="1" dataCaption="Values" updatedVersion="6" minRefreshableVersion="5" showCalcMbrs="0" useAutoFormatting="1" itemPrintTitles="1" createdVersion="3" indent="0" outline="1" outlineData="1" multipleFieldFilters="0" chartFormat="12">
  <location ref="A21:B81" firstHeaderRow="1" firstDataRow="1" firstDataCol="1"/>
  <pivotFields count="5">
    <pivotField axis="axisRow" numFmtId="16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dataField="1" showAll="0">
      <items count="15">
        <item x="10"/>
        <item x="2"/>
        <item x="12"/>
        <item x="7"/>
        <item x="11"/>
        <item x="4"/>
        <item x="3"/>
        <item x="1"/>
        <item x="5"/>
        <item x="9"/>
        <item x="6"/>
        <item x="13"/>
        <item x="8"/>
        <item x="0"/>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showAll="0">
      <items count="4">
        <item x="0"/>
        <item x="1"/>
        <item x="2"/>
        <item t="default"/>
      </items>
    </pivotField>
  </pivotFields>
  <rowFields count="1">
    <field x="0"/>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Items count="1">
    <i/>
  </colItems>
  <dataFields count="1">
    <dataField name="Count of Complaint Type" fld="1" subtotal="count"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5" showCalcMbrs="0" useAutoFormatting="1" itemPrintTitles="1" createdVersion="3" indent="0" outline="1" outlineData="1" multipleFieldFilters="0" chartFormat="18">
  <location ref="A3:B18" firstHeaderRow="1" firstDataRow="1" firstDataCol="1"/>
  <pivotFields count="5">
    <pivotField numFmtId="16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axis="axisRow" dataField="1" showAll="0">
      <items count="15">
        <item x="10"/>
        <item x="2"/>
        <item x="12"/>
        <item x="7"/>
        <item x="11"/>
        <item x="4"/>
        <item x="3"/>
        <item x="1"/>
        <item x="5"/>
        <item x="9"/>
        <item x="6"/>
        <item x="13"/>
        <item x="8"/>
        <item x="0"/>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showAll="0">
      <items count="4">
        <item x="0"/>
        <item x="1"/>
        <item x="2"/>
        <item t="default"/>
      </items>
    </pivotField>
  </pivotFields>
  <rowFields count="1">
    <field x="1"/>
  </rowFields>
  <rowItems count="15">
    <i>
      <x/>
    </i>
    <i>
      <x v="1"/>
    </i>
    <i>
      <x v="2"/>
    </i>
    <i>
      <x v="3"/>
    </i>
    <i>
      <x v="4"/>
    </i>
    <i>
      <x v="5"/>
    </i>
    <i>
      <x v="6"/>
    </i>
    <i>
      <x v="7"/>
    </i>
    <i>
      <x v="8"/>
    </i>
    <i>
      <x v="9"/>
    </i>
    <i>
      <x v="10"/>
    </i>
    <i>
      <x v="11"/>
    </i>
    <i>
      <x v="12"/>
    </i>
    <i>
      <x v="13"/>
    </i>
    <i t="grand">
      <x/>
    </i>
  </rowItems>
  <colItems count="1">
    <i/>
  </colItems>
  <dataFields count="1">
    <dataField name="Count of Complaint Type" fld="1"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7" cacheId="0" applyNumberFormats="0" applyBorderFormats="0" applyFontFormats="0" applyPatternFormats="0" applyAlignmentFormats="0" applyWidthHeightFormats="1" dataCaption="Values" updatedVersion="6" minRefreshableVersion="5" showCalcMbrs="0" useAutoFormatting="1" itemPrintTitles="1" createdVersion="3" indent="0" outline="1" outlineData="1" multipleFieldFilters="0" chartFormat="24">
  <location ref="A108:B115" firstHeaderRow="1" firstDataRow="1" firstDataCol="1"/>
  <pivotFields count="5">
    <pivotField numFmtId="164"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dataField="1" showAll="0">
      <items count="15">
        <item x="10"/>
        <item x="2"/>
        <item x="12"/>
        <item x="7"/>
        <item x="11"/>
        <item x="4"/>
        <item x="3"/>
        <item x="1"/>
        <item x="5"/>
        <item x="9"/>
        <item x="6"/>
        <item x="13"/>
        <item x="8"/>
        <item x="0"/>
        <item t="default"/>
      </items>
    </pivotField>
    <pivotField axis="axisRow"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showAll="0">
      <items count="4">
        <item x="0"/>
        <item x="1"/>
        <item x="2"/>
        <item t="default"/>
      </items>
    </pivotField>
  </pivotFields>
  <rowFields count="1">
    <field x="2"/>
  </rowFields>
  <rowItems count="7">
    <i>
      <x/>
    </i>
    <i>
      <x v="1"/>
    </i>
    <i>
      <x v="2"/>
    </i>
    <i>
      <x v="3"/>
    </i>
    <i>
      <x v="4"/>
    </i>
    <i>
      <x v="5"/>
    </i>
    <i t="grand">
      <x/>
    </i>
  </rowItems>
  <colItems count="1">
    <i/>
  </colItems>
  <dataFields count="1">
    <dataField name="Count of Complaint Type" fld="1" subtotal="count" baseField="0" baseItem="0"/>
  </dataFields>
  <chartFormats count="2">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aint_Type" xr10:uid="{B816CDFC-F671-4517-83C4-6F002C1B5E29}" sourceName="Complaint Type">
  <pivotTables>
    <pivotTable tabId="4" name="PivotTable1"/>
    <pivotTable tabId="4" name="PivotTable2"/>
    <pivotTable tabId="4" name="PivotTable5"/>
    <pivotTable tabId="4" name="PivotTable6"/>
    <pivotTable tabId="4" name="PivotTable7"/>
  </pivotTables>
  <data>
    <tabular pivotCacheId="1">
      <items count="14">
        <i x="10" s="1"/>
        <i x="2" s="1"/>
        <i x="12" s="1"/>
        <i x="7" s="1"/>
        <i x="11" s="1"/>
        <i x="4" s="1"/>
        <i x="3" s="1"/>
        <i x="1" s="1"/>
        <i x="5" s="1"/>
        <i x="9" s="1"/>
        <i x="6" s="1"/>
        <i x="13" s="1"/>
        <i x="8"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E2B0BD0-1913-4B16-B9BB-652A1A632821}" sourceName="Date">
  <pivotTables>
    <pivotTable tabId="4" name="PivotTable2"/>
  </pivotTables>
  <data>
    <tabular pivotCacheId="1">
      <items count="59">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2" xr10:uid="{284941D5-372C-4B7C-A564-E457C36BC39C}" sourceName="Date2">
  <pivotTables>
    <pivotTable tabId="4" name="PivotTable7"/>
    <pivotTable tabId="4" name="PivotTable1"/>
    <pivotTable tabId="4" name="PivotTable2"/>
    <pivotTable tabId="4" name="PivotTable5"/>
    <pivotTable tabId="4" name="PivotTable6"/>
  </pivotTables>
  <data>
    <tabular pivotCacheId="1">
      <items count="6">
        <i x="0" s="1"/>
        <i x="1" s="1"/>
        <i x="2"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50F1CFA0-1E5A-4D96-92F0-58E97F30CF6C}" sourceName="Week">
  <pivotTables>
    <pivotTable tabId="4" name="PivotTable6"/>
    <pivotTable tabId="4" name="PivotTable1"/>
    <pivotTable tabId="4" name="PivotTable2"/>
    <pivotTable tabId="4" name="PivotTable5"/>
    <pivotTable tabId="4" name="PivotTable7"/>
  </pivotTables>
  <data>
    <tabular pivotCacheId="1">
      <items count="13">
        <i x="0" s="1"/>
        <i x="1" s="1"/>
        <i x="2" s="1"/>
        <i x="3" s="1"/>
        <i x="4" s="1"/>
        <i x="5" s="1"/>
        <i x="6" s="1"/>
        <i x="7" s="1"/>
        <i x="8" s="1"/>
        <i x="9" s="1"/>
        <i x="10" s="1"/>
        <i x="11" s="1"/>
        <i x="1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95D576B-ECF3-4C76-8F2D-19B2C1C9EEC6}" sourceName="Month">
  <pivotTables>
    <pivotTable tabId="4" name="PivotTable5"/>
    <pivotTable tabId="4" name="PivotTable1"/>
    <pivotTable tabId="4" name="PivotTable2"/>
    <pivotTable tabId="4" name="PivotTable6"/>
    <pivotTable tabId="4"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aint Type" xr10:uid="{785A7156-F056-4FA4-B4E2-4FA9B7C1FB5A}" cache="Slicer_Complaint_Type" caption="Complaint Type" startItem="10" columnCount="2" rowHeight="241300"/>
  <slicer name="Date" xr10:uid="{FF0A31B3-EEE0-4149-9A85-2FCDEFEA86BE}" cache="Slicer_Date" caption="Date" startItem="43" rowHeight="241300"/>
  <slicer name="Date2" xr10:uid="{471CDF13-B264-4A01-B27F-97055B8ED674}" cache="Slicer_Date2" caption="Date2" rowHeight="241300"/>
  <slicer name="Week" xr10:uid="{F86590FC-10D8-4A5E-9C3D-A54352A2E571}" cache="Slicer_Week" caption="Week" startItem="12" rowHeight="241300"/>
  <slicer name="Month" xr10:uid="{1659DEE9-864B-41B8-BF78-6FDC2AB185B3}" cache="Slicer_Month" caption="Month"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E263" totalsRowShown="0">
  <autoFilter ref="A1:E263" xr:uid="{00000000-0009-0000-0100-000002000000}"/>
  <tableColumns count="5">
    <tableColumn id="1" xr3:uid="{00000000-0010-0000-0000-000001000000}" name="Date" dataDxfId="3"/>
    <tableColumn id="2" xr3:uid="{00000000-0010-0000-0000-000002000000}" name="Complaint Type"/>
    <tableColumn id="3" xr3:uid="{00000000-0010-0000-0000-000003000000}" name="Date2" dataDxfId="2">
      <calculatedColumnFormula>TEXT(A2,"dddd")</calculatedColumnFormula>
    </tableColumn>
    <tableColumn id="7" xr3:uid="{00000000-0010-0000-0000-000007000000}" name="Week" dataDxfId="1">
      <calculatedColumnFormula>WEEKNUM(A2,1)</calculatedColumnFormula>
    </tableColumn>
    <tableColumn id="5" xr3:uid="{00000000-0010-0000-0000-000005000000}" name="Month" dataDxfId="0">
      <calculatedColumnFormula>TEXT(A2,"mmmm")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00979B3-4661-432C-A510-0366F200B948}" sourceName="Date">
  <pivotTables>
    <pivotTable tabId="4" name="PivotTable7"/>
    <pivotTable tabId="4" name="PivotTable1"/>
    <pivotTable tabId="4" name="PivotTable2"/>
    <pivotTable tabId="4" name="PivotTable5"/>
    <pivotTable tabId="4" name="PivotTable6"/>
  </pivotTables>
  <state minimalRefreshVersion="6" lastRefreshVersion="6" pivotCacheId="1" filterType="unknown">
    <bounds startDate="2016-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D538C7A-C2BC-447F-9293-5AC983269E33}" cache="NativeTimeline_Date" caption="Date" level="2" selectionLevel="2" scrollPosition="2016-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3:B115"/>
  <sheetViews>
    <sheetView workbookViewId="0">
      <selection activeCell="L1" sqref="L1"/>
    </sheetView>
  </sheetViews>
  <sheetFormatPr defaultRowHeight="16.5" x14ac:dyDescent="0.3"/>
  <cols>
    <col min="1" max="1" width="12.875" bestFit="1" customWidth="1"/>
    <col min="2" max="2" width="23.375" bestFit="1" customWidth="1"/>
  </cols>
  <sheetData>
    <row r="3" spans="1:2" x14ac:dyDescent="0.3">
      <c r="A3" s="3" t="s">
        <v>19</v>
      </c>
      <c r="B3" t="s">
        <v>21</v>
      </c>
    </row>
    <row r="4" spans="1:2" x14ac:dyDescent="0.3">
      <c r="A4" s="4" t="s">
        <v>12</v>
      </c>
      <c r="B4" s="2">
        <v>4</v>
      </c>
    </row>
    <row r="5" spans="1:2" x14ac:dyDescent="0.3">
      <c r="A5" s="4" t="s">
        <v>4</v>
      </c>
      <c r="B5" s="2">
        <v>12</v>
      </c>
    </row>
    <row r="6" spans="1:2" x14ac:dyDescent="0.3">
      <c r="A6" s="4" t="s">
        <v>14</v>
      </c>
      <c r="B6" s="2">
        <v>1</v>
      </c>
    </row>
    <row r="7" spans="1:2" x14ac:dyDescent="0.3">
      <c r="A7" s="4" t="s">
        <v>9</v>
      </c>
      <c r="B7" s="2">
        <v>29</v>
      </c>
    </row>
    <row r="8" spans="1:2" x14ac:dyDescent="0.3">
      <c r="A8" s="4" t="s">
        <v>13</v>
      </c>
      <c r="B8" s="2">
        <v>1</v>
      </c>
    </row>
    <row r="9" spans="1:2" x14ac:dyDescent="0.3">
      <c r="A9" s="4" t="s">
        <v>6</v>
      </c>
      <c r="B9" s="2">
        <v>17</v>
      </c>
    </row>
    <row r="10" spans="1:2" x14ac:dyDescent="0.3">
      <c r="A10" s="4" t="s">
        <v>5</v>
      </c>
      <c r="B10" s="2">
        <v>15</v>
      </c>
    </row>
    <row r="11" spans="1:2" x14ac:dyDescent="0.3">
      <c r="A11" s="4" t="s">
        <v>3</v>
      </c>
      <c r="B11" s="2">
        <v>5</v>
      </c>
    </row>
    <row r="12" spans="1:2" x14ac:dyDescent="0.3">
      <c r="A12" s="4" t="s">
        <v>7</v>
      </c>
      <c r="B12" s="2">
        <v>42</v>
      </c>
    </row>
    <row r="13" spans="1:2" x14ac:dyDescent="0.3">
      <c r="A13" s="4" t="s">
        <v>11</v>
      </c>
      <c r="B13" s="2">
        <v>5</v>
      </c>
    </row>
    <row r="14" spans="1:2" x14ac:dyDescent="0.3">
      <c r="A14" s="4" t="s">
        <v>8</v>
      </c>
      <c r="B14" s="2">
        <v>56</v>
      </c>
    </row>
    <row r="15" spans="1:2" x14ac:dyDescent="0.3">
      <c r="A15" s="4" t="s">
        <v>15</v>
      </c>
      <c r="B15" s="2">
        <v>3</v>
      </c>
    </row>
    <row r="16" spans="1:2" x14ac:dyDescent="0.3">
      <c r="A16" s="4" t="s">
        <v>10</v>
      </c>
      <c r="B16" s="2">
        <v>4</v>
      </c>
    </row>
    <row r="17" spans="1:2" x14ac:dyDescent="0.3">
      <c r="A17" s="4" t="s">
        <v>2</v>
      </c>
      <c r="B17" s="2">
        <v>68</v>
      </c>
    </row>
    <row r="18" spans="1:2" x14ac:dyDescent="0.3">
      <c r="A18" s="4" t="s">
        <v>20</v>
      </c>
      <c r="B18" s="2">
        <v>262</v>
      </c>
    </row>
    <row r="21" spans="1:2" x14ac:dyDescent="0.3">
      <c r="A21" s="3" t="s">
        <v>19</v>
      </c>
      <c r="B21" t="s">
        <v>21</v>
      </c>
    </row>
    <row r="22" spans="1:2" x14ac:dyDescent="0.3">
      <c r="A22" s="5">
        <v>42373</v>
      </c>
      <c r="B22" s="2">
        <v>4</v>
      </c>
    </row>
    <row r="23" spans="1:2" x14ac:dyDescent="0.3">
      <c r="A23" s="5">
        <v>42374</v>
      </c>
      <c r="B23" s="2">
        <v>2</v>
      </c>
    </row>
    <row r="24" spans="1:2" x14ac:dyDescent="0.3">
      <c r="A24" s="5">
        <v>42375</v>
      </c>
      <c r="B24" s="2">
        <v>4</v>
      </c>
    </row>
    <row r="25" spans="1:2" x14ac:dyDescent="0.3">
      <c r="A25" s="5">
        <v>42376</v>
      </c>
      <c r="B25" s="2">
        <v>7</v>
      </c>
    </row>
    <row r="26" spans="1:2" x14ac:dyDescent="0.3">
      <c r="A26" s="5">
        <v>42377</v>
      </c>
      <c r="B26" s="2">
        <v>11</v>
      </c>
    </row>
    <row r="27" spans="1:2" x14ac:dyDescent="0.3">
      <c r="A27" s="5">
        <v>42380</v>
      </c>
      <c r="B27" s="2">
        <v>3</v>
      </c>
    </row>
    <row r="28" spans="1:2" x14ac:dyDescent="0.3">
      <c r="A28" s="5">
        <v>42381</v>
      </c>
      <c r="B28" s="2">
        <v>6</v>
      </c>
    </row>
    <row r="29" spans="1:2" x14ac:dyDescent="0.3">
      <c r="A29" s="5">
        <v>42382</v>
      </c>
      <c r="B29" s="2">
        <v>2</v>
      </c>
    </row>
    <row r="30" spans="1:2" x14ac:dyDescent="0.3">
      <c r="A30" s="5">
        <v>42383</v>
      </c>
      <c r="B30" s="2">
        <v>4</v>
      </c>
    </row>
    <row r="31" spans="1:2" x14ac:dyDescent="0.3">
      <c r="A31" s="5">
        <v>42384</v>
      </c>
      <c r="B31" s="2">
        <v>5</v>
      </c>
    </row>
    <row r="32" spans="1:2" x14ac:dyDescent="0.3">
      <c r="A32" s="5">
        <v>42388</v>
      </c>
      <c r="B32" s="2">
        <v>2</v>
      </c>
    </row>
    <row r="33" spans="1:2" x14ac:dyDescent="0.3">
      <c r="A33" s="5">
        <v>42389</v>
      </c>
      <c r="B33" s="2">
        <v>1</v>
      </c>
    </row>
    <row r="34" spans="1:2" x14ac:dyDescent="0.3">
      <c r="A34" s="5">
        <v>42390</v>
      </c>
      <c r="B34" s="2">
        <v>3</v>
      </c>
    </row>
    <row r="35" spans="1:2" x14ac:dyDescent="0.3">
      <c r="A35" s="5">
        <v>42391</v>
      </c>
      <c r="B35" s="2">
        <v>5</v>
      </c>
    </row>
    <row r="36" spans="1:2" x14ac:dyDescent="0.3">
      <c r="A36" s="5">
        <v>42395</v>
      </c>
      <c r="B36" s="2">
        <v>5</v>
      </c>
    </row>
    <row r="37" spans="1:2" x14ac:dyDescent="0.3">
      <c r="A37" s="5">
        <v>42396</v>
      </c>
      <c r="B37" s="2">
        <v>3</v>
      </c>
    </row>
    <row r="38" spans="1:2" x14ac:dyDescent="0.3">
      <c r="A38" s="5">
        <v>42397</v>
      </c>
      <c r="B38" s="2">
        <v>2</v>
      </c>
    </row>
    <row r="39" spans="1:2" x14ac:dyDescent="0.3">
      <c r="A39" s="5">
        <v>42401</v>
      </c>
      <c r="B39" s="2">
        <v>3</v>
      </c>
    </row>
    <row r="40" spans="1:2" x14ac:dyDescent="0.3">
      <c r="A40" s="5">
        <v>42402</v>
      </c>
      <c r="B40" s="2">
        <v>3</v>
      </c>
    </row>
    <row r="41" spans="1:2" x14ac:dyDescent="0.3">
      <c r="A41" s="5">
        <v>42403</v>
      </c>
      <c r="B41" s="2">
        <v>5</v>
      </c>
    </row>
    <row r="42" spans="1:2" x14ac:dyDescent="0.3">
      <c r="A42" s="5">
        <v>42404</v>
      </c>
      <c r="B42" s="2">
        <v>1</v>
      </c>
    </row>
    <row r="43" spans="1:2" x14ac:dyDescent="0.3">
      <c r="A43" s="5">
        <v>42405</v>
      </c>
      <c r="B43" s="2">
        <v>6</v>
      </c>
    </row>
    <row r="44" spans="1:2" x14ac:dyDescent="0.3">
      <c r="A44" s="5">
        <v>42408</v>
      </c>
      <c r="B44" s="2">
        <v>3</v>
      </c>
    </row>
    <row r="45" spans="1:2" x14ac:dyDescent="0.3">
      <c r="A45" s="5">
        <v>42409</v>
      </c>
      <c r="B45" s="2">
        <v>5</v>
      </c>
    </row>
    <row r="46" spans="1:2" x14ac:dyDescent="0.3">
      <c r="A46" s="5">
        <v>42411</v>
      </c>
      <c r="B46" s="2">
        <v>4</v>
      </c>
    </row>
    <row r="47" spans="1:2" x14ac:dyDescent="0.3">
      <c r="A47" s="5">
        <v>42412</v>
      </c>
      <c r="B47" s="2">
        <v>2</v>
      </c>
    </row>
    <row r="48" spans="1:2" x14ac:dyDescent="0.3">
      <c r="A48" s="5">
        <v>42415</v>
      </c>
      <c r="B48" s="2">
        <v>1</v>
      </c>
    </row>
    <row r="49" spans="1:2" x14ac:dyDescent="0.3">
      <c r="A49" s="5">
        <v>42416</v>
      </c>
      <c r="B49" s="2">
        <v>1</v>
      </c>
    </row>
    <row r="50" spans="1:2" x14ac:dyDescent="0.3">
      <c r="A50" s="5">
        <v>42417</v>
      </c>
      <c r="B50" s="2">
        <v>3</v>
      </c>
    </row>
    <row r="51" spans="1:2" x14ac:dyDescent="0.3">
      <c r="A51" s="5">
        <v>42418</v>
      </c>
      <c r="B51" s="2">
        <v>1</v>
      </c>
    </row>
    <row r="52" spans="1:2" x14ac:dyDescent="0.3">
      <c r="A52" s="5">
        <v>42419</v>
      </c>
      <c r="B52" s="2">
        <v>1</v>
      </c>
    </row>
    <row r="53" spans="1:2" x14ac:dyDescent="0.3">
      <c r="A53" s="5">
        <v>42422</v>
      </c>
      <c r="B53" s="2">
        <v>4</v>
      </c>
    </row>
    <row r="54" spans="1:2" x14ac:dyDescent="0.3">
      <c r="A54" s="5">
        <v>42423</v>
      </c>
      <c r="B54" s="2">
        <v>1</v>
      </c>
    </row>
    <row r="55" spans="1:2" x14ac:dyDescent="0.3">
      <c r="A55" s="5">
        <v>42424</v>
      </c>
      <c r="B55" s="2">
        <v>3</v>
      </c>
    </row>
    <row r="56" spans="1:2" x14ac:dyDescent="0.3">
      <c r="A56" s="5">
        <v>42425</v>
      </c>
      <c r="B56" s="2">
        <v>4</v>
      </c>
    </row>
    <row r="57" spans="1:2" x14ac:dyDescent="0.3">
      <c r="A57" s="5">
        <v>42426</v>
      </c>
      <c r="B57" s="2">
        <v>2</v>
      </c>
    </row>
    <row r="58" spans="1:2" x14ac:dyDescent="0.3">
      <c r="A58" s="5">
        <v>42427</v>
      </c>
      <c r="B58" s="2">
        <v>1</v>
      </c>
    </row>
    <row r="59" spans="1:2" x14ac:dyDescent="0.3">
      <c r="A59" s="5">
        <v>42430</v>
      </c>
      <c r="B59" s="2">
        <v>7</v>
      </c>
    </row>
    <row r="60" spans="1:2" x14ac:dyDescent="0.3">
      <c r="A60" s="5">
        <v>42431</v>
      </c>
      <c r="B60" s="2">
        <v>3</v>
      </c>
    </row>
    <row r="61" spans="1:2" x14ac:dyDescent="0.3">
      <c r="A61" s="5">
        <v>42432</v>
      </c>
      <c r="B61" s="2">
        <v>10</v>
      </c>
    </row>
    <row r="62" spans="1:2" x14ac:dyDescent="0.3">
      <c r="A62" s="5">
        <v>42433</v>
      </c>
      <c r="B62" s="2">
        <v>3</v>
      </c>
    </row>
    <row r="63" spans="1:2" x14ac:dyDescent="0.3">
      <c r="A63" s="5">
        <v>42436</v>
      </c>
      <c r="B63" s="2">
        <v>6</v>
      </c>
    </row>
    <row r="64" spans="1:2" x14ac:dyDescent="0.3">
      <c r="A64" s="5">
        <v>42437</v>
      </c>
      <c r="B64" s="2">
        <v>9</v>
      </c>
    </row>
    <row r="65" spans="1:2" x14ac:dyDescent="0.3">
      <c r="A65" s="5">
        <v>42438</v>
      </c>
      <c r="B65" s="2">
        <v>6</v>
      </c>
    </row>
    <row r="66" spans="1:2" x14ac:dyDescent="0.3">
      <c r="A66" s="5">
        <v>42439</v>
      </c>
      <c r="B66" s="2">
        <v>3</v>
      </c>
    </row>
    <row r="67" spans="1:2" x14ac:dyDescent="0.3">
      <c r="A67" s="5">
        <v>42440</v>
      </c>
      <c r="B67" s="2">
        <v>6</v>
      </c>
    </row>
    <row r="68" spans="1:2" x14ac:dyDescent="0.3">
      <c r="A68" s="5">
        <v>42443</v>
      </c>
      <c r="B68" s="2">
        <v>3</v>
      </c>
    </row>
    <row r="69" spans="1:2" x14ac:dyDescent="0.3">
      <c r="A69" s="5">
        <v>42444</v>
      </c>
      <c r="B69" s="2">
        <v>2</v>
      </c>
    </row>
    <row r="70" spans="1:2" x14ac:dyDescent="0.3">
      <c r="A70" s="5">
        <v>42445</v>
      </c>
      <c r="B70" s="2">
        <v>7</v>
      </c>
    </row>
    <row r="71" spans="1:2" x14ac:dyDescent="0.3">
      <c r="A71" s="5">
        <v>42446</v>
      </c>
      <c r="B71" s="2">
        <v>10</v>
      </c>
    </row>
    <row r="72" spans="1:2" x14ac:dyDescent="0.3">
      <c r="A72" s="5">
        <v>42447</v>
      </c>
      <c r="B72" s="2">
        <v>4</v>
      </c>
    </row>
    <row r="73" spans="1:2" x14ac:dyDescent="0.3">
      <c r="A73" s="5">
        <v>42450</v>
      </c>
      <c r="B73" s="2">
        <v>7</v>
      </c>
    </row>
    <row r="74" spans="1:2" x14ac:dyDescent="0.3">
      <c r="A74" s="5">
        <v>42451</v>
      </c>
      <c r="B74" s="2">
        <v>6</v>
      </c>
    </row>
    <row r="75" spans="1:2" x14ac:dyDescent="0.3">
      <c r="A75" s="5">
        <v>42452</v>
      </c>
      <c r="B75" s="2">
        <v>2</v>
      </c>
    </row>
    <row r="76" spans="1:2" x14ac:dyDescent="0.3">
      <c r="A76" s="5">
        <v>42454</v>
      </c>
      <c r="B76" s="2">
        <v>10</v>
      </c>
    </row>
    <row r="77" spans="1:2" x14ac:dyDescent="0.3">
      <c r="A77" s="5">
        <v>42457</v>
      </c>
      <c r="B77" s="2">
        <v>8</v>
      </c>
    </row>
    <row r="78" spans="1:2" x14ac:dyDescent="0.3">
      <c r="A78" s="5">
        <v>42458</v>
      </c>
      <c r="B78" s="2">
        <v>10</v>
      </c>
    </row>
    <row r="79" spans="1:2" x14ac:dyDescent="0.3">
      <c r="A79" s="5">
        <v>42459</v>
      </c>
      <c r="B79" s="2">
        <v>8</v>
      </c>
    </row>
    <row r="80" spans="1:2" x14ac:dyDescent="0.3">
      <c r="A80" s="5">
        <v>42460</v>
      </c>
      <c r="B80" s="2">
        <v>9</v>
      </c>
    </row>
    <row r="81" spans="1:2" x14ac:dyDescent="0.3">
      <c r="A81" s="5" t="s">
        <v>20</v>
      </c>
      <c r="B81" s="2">
        <v>262</v>
      </c>
    </row>
    <row r="84" spans="1:2" x14ac:dyDescent="0.3">
      <c r="A84" s="3" t="s">
        <v>19</v>
      </c>
      <c r="B84" t="s">
        <v>21</v>
      </c>
    </row>
    <row r="85" spans="1:2" x14ac:dyDescent="0.3">
      <c r="A85" s="4" t="s">
        <v>24</v>
      </c>
      <c r="B85" s="2">
        <v>69</v>
      </c>
    </row>
    <row r="86" spans="1:2" x14ac:dyDescent="0.3">
      <c r="A86" s="4" t="s">
        <v>25</v>
      </c>
      <c r="B86" s="2">
        <v>54</v>
      </c>
    </row>
    <row r="87" spans="1:2" x14ac:dyDescent="0.3">
      <c r="A87" s="4" t="s">
        <v>23</v>
      </c>
      <c r="B87" s="2">
        <v>139</v>
      </c>
    </row>
    <row r="88" spans="1:2" x14ac:dyDescent="0.3">
      <c r="A88" s="4" t="s">
        <v>20</v>
      </c>
      <c r="B88" s="2">
        <v>262</v>
      </c>
    </row>
    <row r="92" spans="1:2" x14ac:dyDescent="0.3">
      <c r="A92" s="3" t="s">
        <v>19</v>
      </c>
      <c r="B92" t="s">
        <v>21</v>
      </c>
    </row>
    <row r="93" spans="1:2" x14ac:dyDescent="0.3">
      <c r="A93" s="4">
        <v>2</v>
      </c>
      <c r="B93" s="2">
        <v>28</v>
      </c>
    </row>
    <row r="94" spans="1:2" x14ac:dyDescent="0.3">
      <c r="A94" s="4">
        <v>3</v>
      </c>
      <c r="B94" s="2">
        <v>20</v>
      </c>
    </row>
    <row r="95" spans="1:2" x14ac:dyDescent="0.3">
      <c r="A95" s="4">
        <v>4</v>
      </c>
      <c r="B95" s="2">
        <v>11</v>
      </c>
    </row>
    <row r="96" spans="1:2" x14ac:dyDescent="0.3">
      <c r="A96" s="4">
        <v>5</v>
      </c>
      <c r="B96" s="2">
        <v>10</v>
      </c>
    </row>
    <row r="97" spans="1:2" x14ac:dyDescent="0.3">
      <c r="A97" s="4">
        <v>6</v>
      </c>
      <c r="B97" s="2">
        <v>18</v>
      </c>
    </row>
    <row r="98" spans="1:2" x14ac:dyDescent="0.3">
      <c r="A98" s="4">
        <v>7</v>
      </c>
      <c r="B98" s="2">
        <v>14</v>
      </c>
    </row>
    <row r="99" spans="1:2" x14ac:dyDescent="0.3">
      <c r="A99" s="4">
        <v>8</v>
      </c>
      <c r="B99" s="2">
        <v>7</v>
      </c>
    </row>
    <row r="100" spans="1:2" x14ac:dyDescent="0.3">
      <c r="A100" s="4">
        <v>9</v>
      </c>
      <c r="B100" s="2">
        <v>15</v>
      </c>
    </row>
    <row r="101" spans="1:2" x14ac:dyDescent="0.3">
      <c r="A101" s="4">
        <v>10</v>
      </c>
      <c r="B101" s="2">
        <v>23</v>
      </c>
    </row>
    <row r="102" spans="1:2" x14ac:dyDescent="0.3">
      <c r="A102" s="4">
        <v>11</v>
      </c>
      <c r="B102" s="2">
        <v>30</v>
      </c>
    </row>
    <row r="103" spans="1:2" x14ac:dyDescent="0.3">
      <c r="A103" s="4">
        <v>12</v>
      </c>
      <c r="B103" s="2">
        <v>26</v>
      </c>
    </row>
    <row r="104" spans="1:2" x14ac:dyDescent="0.3">
      <c r="A104" s="4">
        <v>13</v>
      </c>
      <c r="B104" s="2">
        <v>25</v>
      </c>
    </row>
    <row r="105" spans="1:2" x14ac:dyDescent="0.3">
      <c r="A105" s="4">
        <v>14</v>
      </c>
      <c r="B105" s="2">
        <v>35</v>
      </c>
    </row>
    <row r="106" spans="1:2" x14ac:dyDescent="0.3">
      <c r="A106" s="4" t="s">
        <v>20</v>
      </c>
      <c r="B106" s="2">
        <v>262</v>
      </c>
    </row>
    <row r="108" spans="1:2" x14ac:dyDescent="0.3">
      <c r="A108" s="3" t="s">
        <v>19</v>
      </c>
      <c r="B108" t="s">
        <v>21</v>
      </c>
    </row>
    <row r="109" spans="1:2" x14ac:dyDescent="0.3">
      <c r="A109" s="4" t="s">
        <v>30</v>
      </c>
      <c r="B109" s="2">
        <v>42</v>
      </c>
    </row>
    <row r="110" spans="1:2" x14ac:dyDescent="0.3">
      <c r="A110" s="4" t="s">
        <v>29</v>
      </c>
      <c r="B110" s="2">
        <v>59</v>
      </c>
    </row>
    <row r="111" spans="1:2" x14ac:dyDescent="0.3">
      <c r="A111" s="4" t="s">
        <v>22</v>
      </c>
      <c r="B111" s="2">
        <v>47</v>
      </c>
    </row>
    <row r="112" spans="1:2" x14ac:dyDescent="0.3">
      <c r="A112" s="4" t="s">
        <v>28</v>
      </c>
      <c r="B112" s="2">
        <v>58</v>
      </c>
    </row>
    <row r="113" spans="1:2" x14ac:dyDescent="0.3">
      <c r="A113" s="4" t="s">
        <v>27</v>
      </c>
      <c r="B113" s="2">
        <v>55</v>
      </c>
    </row>
    <row r="114" spans="1:2" x14ac:dyDescent="0.3">
      <c r="A114" s="4" t="s">
        <v>26</v>
      </c>
      <c r="B114" s="2">
        <v>1</v>
      </c>
    </row>
    <row r="115" spans="1:2" x14ac:dyDescent="0.3">
      <c r="A115" s="4" t="s">
        <v>20</v>
      </c>
      <c r="B115" s="2">
        <v>262</v>
      </c>
    </row>
  </sheetData>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E263"/>
  <sheetViews>
    <sheetView workbookViewId="0"/>
  </sheetViews>
  <sheetFormatPr defaultRowHeight="16.5" x14ac:dyDescent="0.3"/>
  <cols>
    <col min="1" max="1" width="13.25" style="1" customWidth="1"/>
    <col min="2" max="2" width="26.625" customWidth="1"/>
    <col min="3" max="4" width="18.625" customWidth="1"/>
    <col min="5" max="5" width="12.5" customWidth="1"/>
    <col min="6" max="6" width="11.75" customWidth="1"/>
  </cols>
  <sheetData>
    <row r="1" spans="1:5" x14ac:dyDescent="0.3">
      <c r="A1" s="1" t="s">
        <v>0</v>
      </c>
      <c r="B1" t="s">
        <v>1</v>
      </c>
      <c r="C1" t="s">
        <v>17</v>
      </c>
      <c r="D1" t="s">
        <v>18</v>
      </c>
      <c r="E1" t="s">
        <v>16</v>
      </c>
    </row>
    <row r="2" spans="1:5" x14ac:dyDescent="0.3">
      <c r="A2" s="1">
        <v>42373</v>
      </c>
      <c r="B2" t="s">
        <v>2</v>
      </c>
      <c r="C2" s="2" t="str">
        <f t="shared" ref="C2:C65" si="0">TEXT(A2,"dddd")</f>
        <v>Monday</v>
      </c>
      <c r="D2" s="2">
        <f t="shared" ref="D2:D65" si="1">WEEKNUM(A2,1)</f>
        <v>2</v>
      </c>
      <c r="E2" s="2" t="str">
        <f t="shared" ref="E2:E65" si="2">TEXT(A2,"mmmm")</f>
        <v>January</v>
      </c>
    </row>
    <row r="3" spans="1:5" x14ac:dyDescent="0.3">
      <c r="A3" s="1">
        <v>42373</v>
      </c>
      <c r="B3" t="s">
        <v>2</v>
      </c>
      <c r="C3" s="2" t="str">
        <f t="shared" si="0"/>
        <v>Monday</v>
      </c>
      <c r="D3" s="2">
        <f t="shared" si="1"/>
        <v>2</v>
      </c>
      <c r="E3" s="2" t="str">
        <f t="shared" si="2"/>
        <v>January</v>
      </c>
    </row>
    <row r="4" spans="1:5" x14ac:dyDescent="0.3">
      <c r="A4" s="1">
        <v>42373</v>
      </c>
      <c r="B4" t="s">
        <v>3</v>
      </c>
      <c r="C4" s="2" t="str">
        <f t="shared" si="0"/>
        <v>Monday</v>
      </c>
      <c r="D4" s="2">
        <f t="shared" si="1"/>
        <v>2</v>
      </c>
      <c r="E4" s="2" t="str">
        <f t="shared" si="2"/>
        <v>January</v>
      </c>
    </row>
    <row r="5" spans="1:5" x14ac:dyDescent="0.3">
      <c r="A5" s="1">
        <v>42373</v>
      </c>
      <c r="B5" t="s">
        <v>4</v>
      </c>
      <c r="C5" s="2" t="str">
        <f t="shared" si="0"/>
        <v>Monday</v>
      </c>
      <c r="D5" s="2">
        <f t="shared" si="1"/>
        <v>2</v>
      </c>
      <c r="E5" s="2" t="str">
        <f t="shared" si="2"/>
        <v>January</v>
      </c>
    </row>
    <row r="6" spans="1:5" x14ac:dyDescent="0.3">
      <c r="A6" s="1">
        <v>42374</v>
      </c>
      <c r="B6" t="s">
        <v>5</v>
      </c>
      <c r="C6" s="2" t="str">
        <f t="shared" si="0"/>
        <v>Tuesday</v>
      </c>
      <c r="D6" s="2">
        <f t="shared" si="1"/>
        <v>2</v>
      </c>
      <c r="E6" s="2" t="str">
        <f t="shared" si="2"/>
        <v>January</v>
      </c>
    </row>
    <row r="7" spans="1:5" x14ac:dyDescent="0.3">
      <c r="A7" s="1">
        <v>42374</v>
      </c>
      <c r="B7" t="s">
        <v>5</v>
      </c>
      <c r="C7" s="2" t="str">
        <f t="shared" si="0"/>
        <v>Tuesday</v>
      </c>
      <c r="D7" s="2">
        <f t="shared" si="1"/>
        <v>2</v>
      </c>
      <c r="E7" s="2" t="str">
        <f t="shared" si="2"/>
        <v>January</v>
      </c>
    </row>
    <row r="8" spans="1:5" x14ac:dyDescent="0.3">
      <c r="A8" s="1">
        <v>42375</v>
      </c>
      <c r="B8" t="s">
        <v>6</v>
      </c>
      <c r="C8" s="2" t="str">
        <f t="shared" si="0"/>
        <v>Wednesday</v>
      </c>
      <c r="D8" s="2">
        <f t="shared" si="1"/>
        <v>2</v>
      </c>
      <c r="E8" s="2" t="str">
        <f t="shared" si="2"/>
        <v>January</v>
      </c>
    </row>
    <row r="9" spans="1:5" x14ac:dyDescent="0.3">
      <c r="A9" s="1">
        <v>42375</v>
      </c>
      <c r="B9" t="s">
        <v>7</v>
      </c>
      <c r="C9" s="2" t="str">
        <f t="shared" si="0"/>
        <v>Wednesday</v>
      </c>
      <c r="D9" s="2">
        <f t="shared" si="1"/>
        <v>2</v>
      </c>
      <c r="E9" s="2" t="str">
        <f t="shared" si="2"/>
        <v>January</v>
      </c>
    </row>
    <row r="10" spans="1:5" x14ac:dyDescent="0.3">
      <c r="A10" s="1">
        <v>42375</v>
      </c>
      <c r="B10" t="s">
        <v>8</v>
      </c>
      <c r="C10" s="2" t="str">
        <f t="shared" si="0"/>
        <v>Wednesday</v>
      </c>
      <c r="D10" s="2">
        <f t="shared" si="1"/>
        <v>2</v>
      </c>
      <c r="E10" s="2" t="str">
        <f t="shared" si="2"/>
        <v>January</v>
      </c>
    </row>
    <row r="11" spans="1:5" x14ac:dyDescent="0.3">
      <c r="A11" s="1">
        <v>42375</v>
      </c>
      <c r="B11" t="s">
        <v>4</v>
      </c>
      <c r="C11" s="2" t="str">
        <f t="shared" si="0"/>
        <v>Wednesday</v>
      </c>
      <c r="D11" s="2">
        <f t="shared" si="1"/>
        <v>2</v>
      </c>
      <c r="E11" s="2" t="str">
        <f t="shared" si="2"/>
        <v>January</v>
      </c>
    </row>
    <row r="12" spans="1:5" x14ac:dyDescent="0.3">
      <c r="A12" s="1">
        <v>42376</v>
      </c>
      <c r="B12" t="s">
        <v>9</v>
      </c>
      <c r="C12" s="2" t="str">
        <f t="shared" si="0"/>
        <v>Thursday</v>
      </c>
      <c r="D12" s="2">
        <f t="shared" si="1"/>
        <v>2</v>
      </c>
      <c r="E12" s="2" t="str">
        <f t="shared" si="2"/>
        <v>January</v>
      </c>
    </row>
    <row r="13" spans="1:5" x14ac:dyDescent="0.3">
      <c r="A13" s="1">
        <v>42376</v>
      </c>
      <c r="B13" t="s">
        <v>9</v>
      </c>
      <c r="C13" s="2" t="str">
        <f t="shared" si="0"/>
        <v>Thursday</v>
      </c>
      <c r="D13" s="2">
        <f t="shared" si="1"/>
        <v>2</v>
      </c>
      <c r="E13" s="2" t="str">
        <f t="shared" si="2"/>
        <v>January</v>
      </c>
    </row>
    <row r="14" spans="1:5" x14ac:dyDescent="0.3">
      <c r="A14" s="1">
        <v>42376</v>
      </c>
      <c r="B14" t="s">
        <v>7</v>
      </c>
      <c r="C14" s="2" t="str">
        <f t="shared" si="0"/>
        <v>Thursday</v>
      </c>
      <c r="D14" s="2">
        <f t="shared" si="1"/>
        <v>2</v>
      </c>
      <c r="E14" s="2" t="str">
        <f t="shared" si="2"/>
        <v>January</v>
      </c>
    </row>
    <row r="15" spans="1:5" x14ac:dyDescent="0.3">
      <c r="A15" s="1">
        <v>42376</v>
      </c>
      <c r="B15" t="s">
        <v>2</v>
      </c>
      <c r="C15" s="2" t="str">
        <f t="shared" si="0"/>
        <v>Thursday</v>
      </c>
      <c r="D15" s="2">
        <f t="shared" si="1"/>
        <v>2</v>
      </c>
      <c r="E15" s="2" t="str">
        <f t="shared" si="2"/>
        <v>January</v>
      </c>
    </row>
    <row r="16" spans="1:5" x14ac:dyDescent="0.3">
      <c r="A16" s="1">
        <v>42376</v>
      </c>
      <c r="B16" t="s">
        <v>5</v>
      </c>
      <c r="C16" s="2" t="str">
        <f t="shared" si="0"/>
        <v>Thursday</v>
      </c>
      <c r="D16" s="2">
        <f t="shared" si="1"/>
        <v>2</v>
      </c>
      <c r="E16" s="2" t="str">
        <f t="shared" si="2"/>
        <v>January</v>
      </c>
    </row>
    <row r="17" spans="1:5" x14ac:dyDescent="0.3">
      <c r="A17" s="1">
        <v>42376</v>
      </c>
      <c r="B17" t="s">
        <v>2</v>
      </c>
      <c r="C17" s="2" t="str">
        <f t="shared" si="0"/>
        <v>Thursday</v>
      </c>
      <c r="D17" s="2">
        <f t="shared" si="1"/>
        <v>2</v>
      </c>
      <c r="E17" s="2" t="str">
        <f t="shared" si="2"/>
        <v>January</v>
      </c>
    </row>
    <row r="18" spans="1:5" x14ac:dyDescent="0.3">
      <c r="A18" s="1">
        <v>42376</v>
      </c>
      <c r="B18" t="s">
        <v>8</v>
      </c>
      <c r="C18" s="2" t="str">
        <f t="shared" si="0"/>
        <v>Thursday</v>
      </c>
      <c r="D18" s="2">
        <f t="shared" si="1"/>
        <v>2</v>
      </c>
      <c r="E18" s="2" t="str">
        <f t="shared" si="2"/>
        <v>January</v>
      </c>
    </row>
    <row r="19" spans="1:5" x14ac:dyDescent="0.3">
      <c r="A19" s="1">
        <v>42377</v>
      </c>
      <c r="B19" t="s">
        <v>10</v>
      </c>
      <c r="C19" s="2" t="str">
        <f t="shared" si="0"/>
        <v>Friday</v>
      </c>
      <c r="D19" s="2">
        <f t="shared" si="1"/>
        <v>2</v>
      </c>
      <c r="E19" s="2" t="str">
        <f t="shared" si="2"/>
        <v>January</v>
      </c>
    </row>
    <row r="20" spans="1:5" x14ac:dyDescent="0.3">
      <c r="A20" s="1">
        <v>42377</v>
      </c>
      <c r="B20" t="s">
        <v>11</v>
      </c>
      <c r="C20" s="2" t="str">
        <f t="shared" si="0"/>
        <v>Friday</v>
      </c>
      <c r="D20" s="2">
        <f t="shared" si="1"/>
        <v>2</v>
      </c>
      <c r="E20" s="2" t="str">
        <f t="shared" si="2"/>
        <v>January</v>
      </c>
    </row>
    <row r="21" spans="1:5" x14ac:dyDescent="0.3">
      <c r="A21" s="1">
        <v>42377</v>
      </c>
      <c r="B21" t="s">
        <v>8</v>
      </c>
      <c r="C21" s="2" t="str">
        <f t="shared" si="0"/>
        <v>Friday</v>
      </c>
      <c r="D21" s="2">
        <f t="shared" si="1"/>
        <v>2</v>
      </c>
      <c r="E21" s="2" t="str">
        <f t="shared" si="2"/>
        <v>January</v>
      </c>
    </row>
    <row r="22" spans="1:5" x14ac:dyDescent="0.3">
      <c r="A22" s="1">
        <v>42377</v>
      </c>
      <c r="B22" t="s">
        <v>2</v>
      </c>
      <c r="C22" s="2" t="str">
        <f t="shared" si="0"/>
        <v>Friday</v>
      </c>
      <c r="D22" s="2">
        <f t="shared" si="1"/>
        <v>2</v>
      </c>
      <c r="E22" s="2" t="str">
        <f t="shared" si="2"/>
        <v>January</v>
      </c>
    </row>
    <row r="23" spans="1:5" x14ac:dyDescent="0.3">
      <c r="A23" s="1">
        <v>42377</v>
      </c>
      <c r="B23" t="s">
        <v>2</v>
      </c>
      <c r="C23" s="2" t="str">
        <f t="shared" si="0"/>
        <v>Friday</v>
      </c>
      <c r="D23" s="2">
        <f t="shared" si="1"/>
        <v>2</v>
      </c>
      <c r="E23" s="2" t="str">
        <f t="shared" si="2"/>
        <v>January</v>
      </c>
    </row>
    <row r="24" spans="1:5" x14ac:dyDescent="0.3">
      <c r="A24" s="1">
        <v>42377</v>
      </c>
      <c r="B24" t="s">
        <v>2</v>
      </c>
      <c r="C24" s="2" t="str">
        <f t="shared" si="0"/>
        <v>Friday</v>
      </c>
      <c r="D24" s="2">
        <f t="shared" si="1"/>
        <v>2</v>
      </c>
      <c r="E24" s="2" t="str">
        <f t="shared" si="2"/>
        <v>January</v>
      </c>
    </row>
    <row r="25" spans="1:5" x14ac:dyDescent="0.3">
      <c r="A25" s="1">
        <v>42377</v>
      </c>
      <c r="B25" t="s">
        <v>7</v>
      </c>
      <c r="C25" s="2" t="str">
        <f t="shared" si="0"/>
        <v>Friday</v>
      </c>
      <c r="D25" s="2">
        <f t="shared" si="1"/>
        <v>2</v>
      </c>
      <c r="E25" s="2" t="str">
        <f t="shared" si="2"/>
        <v>January</v>
      </c>
    </row>
    <row r="26" spans="1:5" x14ac:dyDescent="0.3">
      <c r="A26" s="1">
        <v>42377</v>
      </c>
      <c r="B26" t="s">
        <v>3</v>
      </c>
      <c r="C26" s="2" t="str">
        <f t="shared" si="0"/>
        <v>Friday</v>
      </c>
      <c r="D26" s="2">
        <f t="shared" si="1"/>
        <v>2</v>
      </c>
      <c r="E26" s="2" t="str">
        <f t="shared" si="2"/>
        <v>January</v>
      </c>
    </row>
    <row r="27" spans="1:5" x14ac:dyDescent="0.3">
      <c r="A27" s="1">
        <v>42377</v>
      </c>
      <c r="B27" t="s">
        <v>12</v>
      </c>
      <c r="C27" s="2" t="str">
        <f t="shared" si="0"/>
        <v>Friday</v>
      </c>
      <c r="D27" s="2">
        <f t="shared" si="1"/>
        <v>2</v>
      </c>
      <c r="E27" s="2" t="str">
        <f t="shared" si="2"/>
        <v>January</v>
      </c>
    </row>
    <row r="28" spans="1:5" x14ac:dyDescent="0.3">
      <c r="A28" s="1">
        <v>42377</v>
      </c>
      <c r="B28" t="s">
        <v>3</v>
      </c>
      <c r="C28" s="2" t="str">
        <f t="shared" si="0"/>
        <v>Friday</v>
      </c>
      <c r="D28" s="2">
        <f t="shared" si="1"/>
        <v>2</v>
      </c>
      <c r="E28" s="2" t="str">
        <f t="shared" si="2"/>
        <v>January</v>
      </c>
    </row>
    <row r="29" spans="1:5" x14ac:dyDescent="0.3">
      <c r="A29" s="1">
        <v>42377</v>
      </c>
      <c r="B29" t="s">
        <v>2</v>
      </c>
      <c r="C29" s="2" t="str">
        <f t="shared" si="0"/>
        <v>Friday</v>
      </c>
      <c r="D29" s="2">
        <f t="shared" si="1"/>
        <v>2</v>
      </c>
      <c r="E29" s="2" t="str">
        <f t="shared" si="2"/>
        <v>January</v>
      </c>
    </row>
    <row r="30" spans="1:5" x14ac:dyDescent="0.3">
      <c r="A30" s="1">
        <v>42380</v>
      </c>
      <c r="B30" t="s">
        <v>6</v>
      </c>
      <c r="C30" s="2" t="str">
        <f t="shared" si="0"/>
        <v>Monday</v>
      </c>
      <c r="D30" s="2">
        <f t="shared" si="1"/>
        <v>3</v>
      </c>
      <c r="E30" s="2" t="str">
        <f t="shared" si="2"/>
        <v>January</v>
      </c>
    </row>
    <row r="31" spans="1:5" x14ac:dyDescent="0.3">
      <c r="A31" s="1">
        <v>42380</v>
      </c>
      <c r="B31" t="s">
        <v>5</v>
      </c>
      <c r="C31" s="2" t="str">
        <f t="shared" si="0"/>
        <v>Monday</v>
      </c>
      <c r="D31" s="2">
        <f t="shared" si="1"/>
        <v>3</v>
      </c>
      <c r="E31" s="2" t="str">
        <f t="shared" si="2"/>
        <v>January</v>
      </c>
    </row>
    <row r="32" spans="1:5" x14ac:dyDescent="0.3">
      <c r="A32" s="1">
        <v>42380</v>
      </c>
      <c r="B32" t="s">
        <v>2</v>
      </c>
      <c r="C32" s="2" t="str">
        <f t="shared" si="0"/>
        <v>Monday</v>
      </c>
      <c r="D32" s="2">
        <f t="shared" si="1"/>
        <v>3</v>
      </c>
      <c r="E32" s="2" t="str">
        <f t="shared" si="2"/>
        <v>January</v>
      </c>
    </row>
    <row r="33" spans="1:5" x14ac:dyDescent="0.3">
      <c r="A33" s="1">
        <v>42381</v>
      </c>
      <c r="B33" t="s">
        <v>2</v>
      </c>
      <c r="C33" s="2" t="str">
        <f t="shared" si="0"/>
        <v>Tuesday</v>
      </c>
      <c r="D33" s="2">
        <f t="shared" si="1"/>
        <v>3</v>
      </c>
      <c r="E33" s="2" t="str">
        <f t="shared" si="2"/>
        <v>January</v>
      </c>
    </row>
    <row r="34" spans="1:5" x14ac:dyDescent="0.3">
      <c r="A34" s="1">
        <v>42381</v>
      </c>
      <c r="B34" t="s">
        <v>4</v>
      </c>
      <c r="C34" s="2" t="str">
        <f t="shared" si="0"/>
        <v>Tuesday</v>
      </c>
      <c r="D34" s="2">
        <f t="shared" si="1"/>
        <v>3</v>
      </c>
      <c r="E34" s="2" t="str">
        <f t="shared" si="2"/>
        <v>January</v>
      </c>
    </row>
    <row r="35" spans="1:5" x14ac:dyDescent="0.3">
      <c r="A35" s="1">
        <v>42381</v>
      </c>
      <c r="B35" t="s">
        <v>8</v>
      </c>
      <c r="C35" s="2" t="str">
        <f t="shared" si="0"/>
        <v>Tuesday</v>
      </c>
      <c r="D35" s="2">
        <f t="shared" si="1"/>
        <v>3</v>
      </c>
      <c r="E35" s="2" t="str">
        <f t="shared" si="2"/>
        <v>January</v>
      </c>
    </row>
    <row r="36" spans="1:5" x14ac:dyDescent="0.3">
      <c r="A36" s="1">
        <v>42381</v>
      </c>
      <c r="B36" t="s">
        <v>8</v>
      </c>
      <c r="C36" s="2" t="str">
        <f t="shared" si="0"/>
        <v>Tuesday</v>
      </c>
      <c r="D36" s="2">
        <f t="shared" si="1"/>
        <v>3</v>
      </c>
      <c r="E36" s="2" t="str">
        <f t="shared" si="2"/>
        <v>January</v>
      </c>
    </row>
    <row r="37" spans="1:5" x14ac:dyDescent="0.3">
      <c r="A37" s="1">
        <v>42381</v>
      </c>
      <c r="B37" t="s">
        <v>7</v>
      </c>
      <c r="C37" s="2" t="str">
        <f t="shared" si="0"/>
        <v>Tuesday</v>
      </c>
      <c r="D37" s="2">
        <f t="shared" si="1"/>
        <v>3</v>
      </c>
      <c r="E37" s="2" t="str">
        <f t="shared" si="2"/>
        <v>January</v>
      </c>
    </row>
    <row r="38" spans="1:5" x14ac:dyDescent="0.3">
      <c r="A38" s="1">
        <v>42381</v>
      </c>
      <c r="B38" t="s">
        <v>9</v>
      </c>
      <c r="C38" s="2" t="str">
        <f t="shared" si="0"/>
        <v>Tuesday</v>
      </c>
      <c r="D38" s="2">
        <f t="shared" si="1"/>
        <v>3</v>
      </c>
      <c r="E38" s="2" t="str">
        <f t="shared" si="2"/>
        <v>January</v>
      </c>
    </row>
    <row r="39" spans="1:5" x14ac:dyDescent="0.3">
      <c r="A39" s="1">
        <v>42382</v>
      </c>
      <c r="B39" t="s">
        <v>2</v>
      </c>
      <c r="C39" s="2" t="str">
        <f t="shared" si="0"/>
        <v>Wednesday</v>
      </c>
      <c r="D39" s="2">
        <f t="shared" si="1"/>
        <v>3</v>
      </c>
      <c r="E39" s="2" t="str">
        <f t="shared" si="2"/>
        <v>January</v>
      </c>
    </row>
    <row r="40" spans="1:5" x14ac:dyDescent="0.3">
      <c r="A40" s="1">
        <v>42382</v>
      </c>
      <c r="B40" t="s">
        <v>2</v>
      </c>
      <c r="C40" s="2" t="str">
        <f t="shared" si="0"/>
        <v>Wednesday</v>
      </c>
      <c r="D40" s="2">
        <f t="shared" si="1"/>
        <v>3</v>
      </c>
      <c r="E40" s="2" t="str">
        <f t="shared" si="2"/>
        <v>January</v>
      </c>
    </row>
    <row r="41" spans="1:5" x14ac:dyDescent="0.3">
      <c r="A41" s="1">
        <v>42383</v>
      </c>
      <c r="B41" t="s">
        <v>2</v>
      </c>
      <c r="C41" s="2" t="str">
        <f t="shared" si="0"/>
        <v>Thursday</v>
      </c>
      <c r="D41" s="2">
        <f t="shared" si="1"/>
        <v>3</v>
      </c>
      <c r="E41" s="2" t="str">
        <f t="shared" si="2"/>
        <v>January</v>
      </c>
    </row>
    <row r="42" spans="1:5" x14ac:dyDescent="0.3">
      <c r="A42" s="1">
        <v>42383</v>
      </c>
      <c r="B42" t="s">
        <v>2</v>
      </c>
      <c r="C42" s="2" t="str">
        <f t="shared" si="0"/>
        <v>Thursday</v>
      </c>
      <c r="D42" s="2">
        <f t="shared" si="1"/>
        <v>3</v>
      </c>
      <c r="E42" s="2" t="str">
        <f t="shared" si="2"/>
        <v>January</v>
      </c>
    </row>
    <row r="43" spans="1:5" x14ac:dyDescent="0.3">
      <c r="A43" s="1">
        <v>42383</v>
      </c>
      <c r="B43" t="s">
        <v>2</v>
      </c>
      <c r="C43" s="2" t="str">
        <f t="shared" si="0"/>
        <v>Thursday</v>
      </c>
      <c r="D43" s="2">
        <f t="shared" si="1"/>
        <v>3</v>
      </c>
      <c r="E43" s="2" t="str">
        <f t="shared" si="2"/>
        <v>January</v>
      </c>
    </row>
    <row r="44" spans="1:5" x14ac:dyDescent="0.3">
      <c r="A44" s="1">
        <v>42383</v>
      </c>
      <c r="B44" t="s">
        <v>2</v>
      </c>
      <c r="C44" s="2" t="str">
        <f t="shared" si="0"/>
        <v>Thursday</v>
      </c>
      <c r="D44" s="2">
        <f t="shared" si="1"/>
        <v>3</v>
      </c>
      <c r="E44" s="2" t="str">
        <f t="shared" si="2"/>
        <v>January</v>
      </c>
    </row>
    <row r="45" spans="1:5" x14ac:dyDescent="0.3">
      <c r="A45" s="1">
        <v>42384</v>
      </c>
      <c r="B45" t="s">
        <v>6</v>
      </c>
      <c r="C45" s="2" t="str">
        <f t="shared" si="0"/>
        <v>Friday</v>
      </c>
      <c r="D45" s="2">
        <f t="shared" si="1"/>
        <v>3</v>
      </c>
      <c r="E45" s="2" t="str">
        <f t="shared" si="2"/>
        <v>January</v>
      </c>
    </row>
    <row r="46" spans="1:5" x14ac:dyDescent="0.3">
      <c r="A46" s="1">
        <v>42384</v>
      </c>
      <c r="B46" t="s">
        <v>8</v>
      </c>
      <c r="C46" s="2" t="str">
        <f t="shared" si="0"/>
        <v>Friday</v>
      </c>
      <c r="D46" s="2">
        <f t="shared" si="1"/>
        <v>3</v>
      </c>
      <c r="E46" s="2" t="str">
        <f t="shared" si="2"/>
        <v>January</v>
      </c>
    </row>
    <row r="47" spans="1:5" x14ac:dyDescent="0.3">
      <c r="A47" s="1">
        <v>42384</v>
      </c>
      <c r="B47" t="s">
        <v>5</v>
      </c>
      <c r="C47" s="2" t="str">
        <f t="shared" si="0"/>
        <v>Friday</v>
      </c>
      <c r="D47" s="2">
        <f t="shared" si="1"/>
        <v>3</v>
      </c>
      <c r="E47" s="2" t="str">
        <f t="shared" si="2"/>
        <v>January</v>
      </c>
    </row>
    <row r="48" spans="1:5" x14ac:dyDescent="0.3">
      <c r="A48" s="1">
        <v>42384</v>
      </c>
      <c r="B48" t="s">
        <v>2</v>
      </c>
      <c r="C48" s="2" t="str">
        <f t="shared" si="0"/>
        <v>Friday</v>
      </c>
      <c r="D48" s="2">
        <f t="shared" si="1"/>
        <v>3</v>
      </c>
      <c r="E48" s="2" t="str">
        <f t="shared" si="2"/>
        <v>January</v>
      </c>
    </row>
    <row r="49" spans="1:5" x14ac:dyDescent="0.3">
      <c r="A49" s="1">
        <v>42384</v>
      </c>
      <c r="B49" t="s">
        <v>7</v>
      </c>
      <c r="C49" s="2" t="str">
        <f t="shared" si="0"/>
        <v>Friday</v>
      </c>
      <c r="D49" s="2">
        <f t="shared" si="1"/>
        <v>3</v>
      </c>
      <c r="E49" s="2" t="str">
        <f t="shared" si="2"/>
        <v>January</v>
      </c>
    </row>
    <row r="50" spans="1:5" x14ac:dyDescent="0.3">
      <c r="A50" s="1">
        <v>42388</v>
      </c>
      <c r="B50" t="s">
        <v>7</v>
      </c>
      <c r="C50" s="2" t="str">
        <f t="shared" si="0"/>
        <v>Tuesday</v>
      </c>
      <c r="D50" s="2">
        <f t="shared" si="1"/>
        <v>4</v>
      </c>
      <c r="E50" s="2" t="str">
        <f t="shared" si="2"/>
        <v>January</v>
      </c>
    </row>
    <row r="51" spans="1:5" x14ac:dyDescent="0.3">
      <c r="A51" s="1">
        <v>42388</v>
      </c>
      <c r="B51" t="s">
        <v>10</v>
      </c>
      <c r="C51" s="2" t="str">
        <f t="shared" si="0"/>
        <v>Tuesday</v>
      </c>
      <c r="D51" s="2">
        <f t="shared" si="1"/>
        <v>4</v>
      </c>
      <c r="E51" s="2" t="str">
        <f t="shared" si="2"/>
        <v>January</v>
      </c>
    </row>
    <row r="52" spans="1:5" x14ac:dyDescent="0.3">
      <c r="A52" s="1">
        <v>42389</v>
      </c>
      <c r="B52" t="s">
        <v>11</v>
      </c>
      <c r="C52" s="2" t="str">
        <f t="shared" si="0"/>
        <v>Wednesday</v>
      </c>
      <c r="D52" s="2">
        <f t="shared" si="1"/>
        <v>4</v>
      </c>
      <c r="E52" s="2" t="str">
        <f t="shared" si="2"/>
        <v>January</v>
      </c>
    </row>
    <row r="53" spans="1:5" x14ac:dyDescent="0.3">
      <c r="A53" s="1">
        <v>42390</v>
      </c>
      <c r="B53" t="s">
        <v>4</v>
      </c>
      <c r="C53" s="2" t="str">
        <f t="shared" si="0"/>
        <v>Thursday</v>
      </c>
      <c r="D53" s="2">
        <f t="shared" si="1"/>
        <v>4</v>
      </c>
      <c r="E53" s="2" t="str">
        <f t="shared" si="2"/>
        <v>January</v>
      </c>
    </row>
    <row r="54" spans="1:5" x14ac:dyDescent="0.3">
      <c r="A54" s="1">
        <v>42390</v>
      </c>
      <c r="B54" t="s">
        <v>4</v>
      </c>
      <c r="C54" s="2" t="str">
        <f t="shared" si="0"/>
        <v>Thursday</v>
      </c>
      <c r="D54" s="2">
        <f t="shared" si="1"/>
        <v>4</v>
      </c>
      <c r="E54" s="2" t="str">
        <f t="shared" si="2"/>
        <v>January</v>
      </c>
    </row>
    <row r="55" spans="1:5" x14ac:dyDescent="0.3">
      <c r="A55" s="1">
        <v>42390</v>
      </c>
      <c r="B55" t="s">
        <v>8</v>
      </c>
      <c r="C55" s="2" t="str">
        <f t="shared" si="0"/>
        <v>Thursday</v>
      </c>
      <c r="D55" s="2">
        <f t="shared" si="1"/>
        <v>4</v>
      </c>
      <c r="E55" s="2" t="str">
        <f t="shared" si="2"/>
        <v>January</v>
      </c>
    </row>
    <row r="56" spans="1:5" x14ac:dyDescent="0.3">
      <c r="A56" s="1">
        <v>42391</v>
      </c>
      <c r="B56" t="s">
        <v>8</v>
      </c>
      <c r="C56" s="2" t="str">
        <f t="shared" si="0"/>
        <v>Friday</v>
      </c>
      <c r="D56" s="2">
        <f t="shared" si="1"/>
        <v>4</v>
      </c>
      <c r="E56" s="2" t="str">
        <f t="shared" si="2"/>
        <v>January</v>
      </c>
    </row>
    <row r="57" spans="1:5" x14ac:dyDescent="0.3">
      <c r="A57" s="1">
        <v>42391</v>
      </c>
      <c r="B57" t="s">
        <v>8</v>
      </c>
      <c r="C57" s="2" t="str">
        <f t="shared" si="0"/>
        <v>Friday</v>
      </c>
      <c r="D57" s="2">
        <f t="shared" si="1"/>
        <v>4</v>
      </c>
      <c r="E57" s="2" t="str">
        <f t="shared" si="2"/>
        <v>January</v>
      </c>
    </row>
    <row r="58" spans="1:5" x14ac:dyDescent="0.3">
      <c r="A58" s="1">
        <v>42391</v>
      </c>
      <c r="B58" t="s">
        <v>2</v>
      </c>
      <c r="C58" s="2" t="str">
        <f t="shared" si="0"/>
        <v>Friday</v>
      </c>
      <c r="D58" s="2">
        <f t="shared" si="1"/>
        <v>4</v>
      </c>
      <c r="E58" s="2" t="str">
        <f t="shared" si="2"/>
        <v>January</v>
      </c>
    </row>
    <row r="59" spans="1:5" x14ac:dyDescent="0.3">
      <c r="A59" s="1">
        <v>42391</v>
      </c>
      <c r="B59" t="s">
        <v>9</v>
      </c>
      <c r="C59" s="2" t="str">
        <f t="shared" si="0"/>
        <v>Friday</v>
      </c>
      <c r="D59" s="2">
        <f t="shared" si="1"/>
        <v>4</v>
      </c>
      <c r="E59" s="2" t="str">
        <f t="shared" si="2"/>
        <v>January</v>
      </c>
    </row>
    <row r="60" spans="1:5" x14ac:dyDescent="0.3">
      <c r="A60" s="1">
        <v>42391</v>
      </c>
      <c r="B60" t="s">
        <v>7</v>
      </c>
      <c r="C60" s="2" t="str">
        <f t="shared" si="0"/>
        <v>Friday</v>
      </c>
      <c r="D60" s="2">
        <f t="shared" si="1"/>
        <v>4</v>
      </c>
      <c r="E60" s="2" t="str">
        <f t="shared" si="2"/>
        <v>January</v>
      </c>
    </row>
    <row r="61" spans="1:5" x14ac:dyDescent="0.3">
      <c r="A61" s="1">
        <v>42395</v>
      </c>
      <c r="B61" t="s">
        <v>7</v>
      </c>
      <c r="C61" s="2" t="str">
        <f t="shared" si="0"/>
        <v>Tuesday</v>
      </c>
      <c r="D61" s="2">
        <f t="shared" si="1"/>
        <v>5</v>
      </c>
      <c r="E61" s="2" t="str">
        <f t="shared" si="2"/>
        <v>January</v>
      </c>
    </row>
    <row r="62" spans="1:5" x14ac:dyDescent="0.3">
      <c r="A62" s="1">
        <v>42395</v>
      </c>
      <c r="B62" t="s">
        <v>13</v>
      </c>
      <c r="C62" s="2" t="str">
        <f t="shared" si="0"/>
        <v>Tuesday</v>
      </c>
      <c r="D62" s="2">
        <f t="shared" si="1"/>
        <v>5</v>
      </c>
      <c r="E62" s="2" t="str">
        <f t="shared" si="2"/>
        <v>January</v>
      </c>
    </row>
    <row r="63" spans="1:5" x14ac:dyDescent="0.3">
      <c r="A63" s="1">
        <v>42395</v>
      </c>
      <c r="B63" t="s">
        <v>8</v>
      </c>
      <c r="C63" s="2" t="str">
        <f t="shared" si="0"/>
        <v>Tuesday</v>
      </c>
      <c r="D63" s="2">
        <f t="shared" si="1"/>
        <v>5</v>
      </c>
      <c r="E63" s="2" t="str">
        <f t="shared" si="2"/>
        <v>January</v>
      </c>
    </row>
    <row r="64" spans="1:5" x14ac:dyDescent="0.3">
      <c r="A64" s="1">
        <v>42395</v>
      </c>
      <c r="B64" t="s">
        <v>8</v>
      </c>
      <c r="C64" s="2" t="str">
        <f t="shared" si="0"/>
        <v>Tuesday</v>
      </c>
      <c r="D64" s="2">
        <f t="shared" si="1"/>
        <v>5</v>
      </c>
      <c r="E64" s="2" t="str">
        <f t="shared" si="2"/>
        <v>January</v>
      </c>
    </row>
    <row r="65" spans="1:5" x14ac:dyDescent="0.3">
      <c r="A65" s="1">
        <v>42395</v>
      </c>
      <c r="B65" t="s">
        <v>2</v>
      </c>
      <c r="C65" s="2" t="str">
        <f t="shared" si="0"/>
        <v>Tuesday</v>
      </c>
      <c r="D65" s="2">
        <f t="shared" si="1"/>
        <v>5</v>
      </c>
      <c r="E65" s="2" t="str">
        <f t="shared" si="2"/>
        <v>January</v>
      </c>
    </row>
    <row r="66" spans="1:5" x14ac:dyDescent="0.3">
      <c r="A66" s="1">
        <v>42396</v>
      </c>
      <c r="B66" t="s">
        <v>5</v>
      </c>
      <c r="C66" s="2" t="str">
        <f t="shared" ref="C66:C129" si="3">TEXT(A66,"dddd")</f>
        <v>Wednesday</v>
      </c>
      <c r="D66" s="2">
        <f t="shared" ref="D66:D129" si="4">WEEKNUM(A66,1)</f>
        <v>5</v>
      </c>
      <c r="E66" s="2" t="str">
        <f t="shared" ref="E66:E129" si="5">TEXT(A66,"mmmm")</f>
        <v>January</v>
      </c>
    </row>
    <row r="67" spans="1:5" x14ac:dyDescent="0.3">
      <c r="A67" s="1">
        <v>42396</v>
      </c>
      <c r="B67" t="s">
        <v>6</v>
      </c>
      <c r="C67" s="2" t="str">
        <f t="shared" si="3"/>
        <v>Wednesday</v>
      </c>
      <c r="D67" s="2">
        <f t="shared" si="4"/>
        <v>5</v>
      </c>
      <c r="E67" s="2" t="str">
        <f t="shared" si="5"/>
        <v>January</v>
      </c>
    </row>
    <row r="68" spans="1:5" x14ac:dyDescent="0.3">
      <c r="A68" s="1">
        <v>42396</v>
      </c>
      <c r="B68" t="s">
        <v>14</v>
      </c>
      <c r="C68" s="2" t="str">
        <f t="shared" si="3"/>
        <v>Wednesday</v>
      </c>
      <c r="D68" s="2">
        <f t="shared" si="4"/>
        <v>5</v>
      </c>
      <c r="E68" s="2" t="str">
        <f t="shared" si="5"/>
        <v>January</v>
      </c>
    </row>
    <row r="69" spans="1:5" x14ac:dyDescent="0.3">
      <c r="A69" s="1">
        <v>42397</v>
      </c>
      <c r="B69" t="s">
        <v>7</v>
      </c>
      <c r="C69" s="2" t="str">
        <f t="shared" si="3"/>
        <v>Thursday</v>
      </c>
      <c r="D69" s="2">
        <f t="shared" si="4"/>
        <v>5</v>
      </c>
      <c r="E69" s="2" t="str">
        <f t="shared" si="5"/>
        <v>January</v>
      </c>
    </row>
    <row r="70" spans="1:5" x14ac:dyDescent="0.3">
      <c r="A70" s="1">
        <v>42397</v>
      </c>
      <c r="B70" t="s">
        <v>2</v>
      </c>
      <c r="C70" s="2" t="str">
        <f t="shared" si="3"/>
        <v>Thursday</v>
      </c>
      <c r="D70" s="2">
        <f t="shared" si="4"/>
        <v>5</v>
      </c>
      <c r="E70" s="2" t="str">
        <f t="shared" si="5"/>
        <v>January</v>
      </c>
    </row>
    <row r="71" spans="1:5" x14ac:dyDescent="0.3">
      <c r="A71" s="1">
        <v>42401</v>
      </c>
      <c r="B71" t="s">
        <v>6</v>
      </c>
      <c r="C71" s="2" t="str">
        <f t="shared" si="3"/>
        <v>Monday</v>
      </c>
      <c r="D71" s="2">
        <f t="shared" si="4"/>
        <v>6</v>
      </c>
      <c r="E71" s="2" t="str">
        <f t="shared" si="5"/>
        <v>February</v>
      </c>
    </row>
    <row r="72" spans="1:5" x14ac:dyDescent="0.3">
      <c r="A72" s="1">
        <v>42401</v>
      </c>
      <c r="B72" t="s">
        <v>8</v>
      </c>
      <c r="C72" s="2" t="str">
        <f t="shared" si="3"/>
        <v>Monday</v>
      </c>
      <c r="D72" s="2">
        <f t="shared" si="4"/>
        <v>6</v>
      </c>
      <c r="E72" s="2" t="str">
        <f t="shared" si="5"/>
        <v>February</v>
      </c>
    </row>
    <row r="73" spans="1:5" x14ac:dyDescent="0.3">
      <c r="A73" s="1">
        <v>42401</v>
      </c>
      <c r="B73" t="s">
        <v>7</v>
      </c>
      <c r="C73" s="2" t="str">
        <f t="shared" si="3"/>
        <v>Monday</v>
      </c>
      <c r="D73" s="2">
        <f t="shared" si="4"/>
        <v>6</v>
      </c>
      <c r="E73" s="2" t="str">
        <f t="shared" si="5"/>
        <v>February</v>
      </c>
    </row>
    <row r="74" spans="1:5" x14ac:dyDescent="0.3">
      <c r="A74" s="1">
        <v>42402</v>
      </c>
      <c r="B74" t="s">
        <v>8</v>
      </c>
      <c r="C74" s="2" t="str">
        <f t="shared" si="3"/>
        <v>Tuesday</v>
      </c>
      <c r="D74" s="2">
        <f t="shared" si="4"/>
        <v>6</v>
      </c>
      <c r="E74" s="2" t="str">
        <f t="shared" si="5"/>
        <v>February</v>
      </c>
    </row>
    <row r="75" spans="1:5" x14ac:dyDescent="0.3">
      <c r="A75" s="1">
        <v>42402</v>
      </c>
      <c r="B75" t="s">
        <v>2</v>
      </c>
      <c r="C75" s="2" t="str">
        <f t="shared" si="3"/>
        <v>Tuesday</v>
      </c>
      <c r="D75" s="2">
        <f t="shared" si="4"/>
        <v>6</v>
      </c>
      <c r="E75" s="2" t="str">
        <f t="shared" si="5"/>
        <v>February</v>
      </c>
    </row>
    <row r="76" spans="1:5" x14ac:dyDescent="0.3">
      <c r="A76" s="1">
        <v>42402</v>
      </c>
      <c r="B76" t="s">
        <v>2</v>
      </c>
      <c r="C76" s="2" t="str">
        <f t="shared" si="3"/>
        <v>Tuesday</v>
      </c>
      <c r="D76" s="2">
        <f t="shared" si="4"/>
        <v>6</v>
      </c>
      <c r="E76" s="2" t="str">
        <f t="shared" si="5"/>
        <v>February</v>
      </c>
    </row>
    <row r="77" spans="1:5" x14ac:dyDescent="0.3">
      <c r="A77" s="1">
        <v>42403</v>
      </c>
      <c r="B77" t="s">
        <v>5</v>
      </c>
      <c r="C77" s="2" t="str">
        <f t="shared" si="3"/>
        <v>Wednesday</v>
      </c>
      <c r="D77" s="2">
        <f t="shared" si="4"/>
        <v>6</v>
      </c>
      <c r="E77" s="2" t="str">
        <f t="shared" si="5"/>
        <v>February</v>
      </c>
    </row>
    <row r="78" spans="1:5" x14ac:dyDescent="0.3">
      <c r="A78" s="1">
        <v>42403</v>
      </c>
      <c r="B78" t="s">
        <v>10</v>
      </c>
      <c r="C78" s="2" t="str">
        <f t="shared" si="3"/>
        <v>Wednesday</v>
      </c>
      <c r="D78" s="2">
        <f t="shared" si="4"/>
        <v>6</v>
      </c>
      <c r="E78" s="2" t="str">
        <f t="shared" si="5"/>
        <v>February</v>
      </c>
    </row>
    <row r="79" spans="1:5" x14ac:dyDescent="0.3">
      <c r="A79" s="1">
        <v>42403</v>
      </c>
      <c r="B79" t="s">
        <v>7</v>
      </c>
      <c r="C79" s="2" t="str">
        <f t="shared" si="3"/>
        <v>Wednesday</v>
      </c>
      <c r="D79" s="2">
        <f t="shared" si="4"/>
        <v>6</v>
      </c>
      <c r="E79" s="2" t="str">
        <f t="shared" si="5"/>
        <v>February</v>
      </c>
    </row>
    <row r="80" spans="1:5" x14ac:dyDescent="0.3">
      <c r="A80" s="1">
        <v>42403</v>
      </c>
      <c r="B80" t="s">
        <v>7</v>
      </c>
      <c r="C80" s="2" t="str">
        <f t="shared" si="3"/>
        <v>Wednesday</v>
      </c>
      <c r="D80" s="2">
        <f t="shared" si="4"/>
        <v>6</v>
      </c>
      <c r="E80" s="2" t="str">
        <f t="shared" si="5"/>
        <v>February</v>
      </c>
    </row>
    <row r="81" spans="1:5" x14ac:dyDescent="0.3">
      <c r="A81" s="1">
        <v>42403</v>
      </c>
      <c r="B81" t="s">
        <v>2</v>
      </c>
      <c r="C81" s="2" t="str">
        <f t="shared" si="3"/>
        <v>Wednesday</v>
      </c>
      <c r="D81" s="2">
        <f t="shared" si="4"/>
        <v>6</v>
      </c>
      <c r="E81" s="2" t="str">
        <f t="shared" si="5"/>
        <v>February</v>
      </c>
    </row>
    <row r="82" spans="1:5" x14ac:dyDescent="0.3">
      <c r="A82" s="1">
        <v>42404</v>
      </c>
      <c r="B82" t="s">
        <v>8</v>
      </c>
      <c r="C82" s="2" t="str">
        <f t="shared" si="3"/>
        <v>Thursday</v>
      </c>
      <c r="D82" s="2">
        <f t="shared" si="4"/>
        <v>6</v>
      </c>
      <c r="E82" s="2" t="str">
        <f t="shared" si="5"/>
        <v>February</v>
      </c>
    </row>
    <row r="83" spans="1:5" x14ac:dyDescent="0.3">
      <c r="A83" s="1">
        <v>42405</v>
      </c>
      <c r="B83" t="s">
        <v>7</v>
      </c>
      <c r="C83" s="2" t="str">
        <f t="shared" si="3"/>
        <v>Friday</v>
      </c>
      <c r="D83" s="2">
        <f t="shared" si="4"/>
        <v>6</v>
      </c>
      <c r="E83" s="2" t="str">
        <f t="shared" si="5"/>
        <v>February</v>
      </c>
    </row>
    <row r="84" spans="1:5" x14ac:dyDescent="0.3">
      <c r="A84" s="1">
        <v>42405</v>
      </c>
      <c r="B84" t="s">
        <v>8</v>
      </c>
      <c r="C84" s="2" t="str">
        <f t="shared" si="3"/>
        <v>Friday</v>
      </c>
      <c r="D84" s="2">
        <f t="shared" si="4"/>
        <v>6</v>
      </c>
      <c r="E84" s="2" t="str">
        <f t="shared" si="5"/>
        <v>February</v>
      </c>
    </row>
    <row r="85" spans="1:5" x14ac:dyDescent="0.3">
      <c r="A85" s="1">
        <v>42405</v>
      </c>
      <c r="B85" t="s">
        <v>5</v>
      </c>
      <c r="C85" s="2" t="str">
        <f t="shared" si="3"/>
        <v>Friday</v>
      </c>
      <c r="D85" s="2">
        <f t="shared" si="4"/>
        <v>6</v>
      </c>
      <c r="E85" s="2" t="str">
        <f t="shared" si="5"/>
        <v>February</v>
      </c>
    </row>
    <row r="86" spans="1:5" x14ac:dyDescent="0.3">
      <c r="A86" s="1">
        <v>42405</v>
      </c>
      <c r="B86" t="s">
        <v>3</v>
      </c>
      <c r="C86" s="2" t="str">
        <f t="shared" si="3"/>
        <v>Friday</v>
      </c>
      <c r="D86" s="2">
        <f t="shared" si="4"/>
        <v>6</v>
      </c>
      <c r="E86" s="2" t="str">
        <f t="shared" si="5"/>
        <v>February</v>
      </c>
    </row>
    <row r="87" spans="1:5" x14ac:dyDescent="0.3">
      <c r="A87" s="1">
        <v>42405</v>
      </c>
      <c r="B87" t="s">
        <v>2</v>
      </c>
      <c r="C87" s="2" t="str">
        <f t="shared" si="3"/>
        <v>Friday</v>
      </c>
      <c r="D87" s="2">
        <f t="shared" si="4"/>
        <v>6</v>
      </c>
      <c r="E87" s="2" t="str">
        <f t="shared" si="5"/>
        <v>February</v>
      </c>
    </row>
    <row r="88" spans="1:5" x14ac:dyDescent="0.3">
      <c r="A88" s="1">
        <v>42405</v>
      </c>
      <c r="B88" t="s">
        <v>2</v>
      </c>
      <c r="C88" s="2" t="str">
        <f t="shared" si="3"/>
        <v>Friday</v>
      </c>
      <c r="D88" s="2">
        <f t="shared" si="4"/>
        <v>6</v>
      </c>
      <c r="E88" s="2" t="str">
        <f t="shared" si="5"/>
        <v>February</v>
      </c>
    </row>
    <row r="89" spans="1:5" x14ac:dyDescent="0.3">
      <c r="A89" s="1">
        <v>42408</v>
      </c>
      <c r="B89" t="s">
        <v>4</v>
      </c>
      <c r="C89" s="2" t="str">
        <f t="shared" si="3"/>
        <v>Monday</v>
      </c>
      <c r="D89" s="2">
        <f t="shared" si="4"/>
        <v>7</v>
      </c>
      <c r="E89" s="2" t="str">
        <f t="shared" si="5"/>
        <v>February</v>
      </c>
    </row>
    <row r="90" spans="1:5" x14ac:dyDescent="0.3">
      <c r="A90" s="1">
        <v>42408</v>
      </c>
      <c r="B90" t="s">
        <v>9</v>
      </c>
      <c r="C90" s="2" t="str">
        <f t="shared" si="3"/>
        <v>Monday</v>
      </c>
      <c r="D90" s="2">
        <f t="shared" si="4"/>
        <v>7</v>
      </c>
      <c r="E90" s="2" t="str">
        <f t="shared" si="5"/>
        <v>February</v>
      </c>
    </row>
    <row r="91" spans="1:5" x14ac:dyDescent="0.3">
      <c r="A91" s="1">
        <v>42408</v>
      </c>
      <c r="B91" t="s">
        <v>8</v>
      </c>
      <c r="C91" s="2" t="str">
        <f t="shared" si="3"/>
        <v>Monday</v>
      </c>
      <c r="D91" s="2">
        <f t="shared" si="4"/>
        <v>7</v>
      </c>
      <c r="E91" s="2" t="str">
        <f t="shared" si="5"/>
        <v>February</v>
      </c>
    </row>
    <row r="92" spans="1:5" x14ac:dyDescent="0.3">
      <c r="A92" s="1">
        <v>42409</v>
      </c>
      <c r="B92" t="s">
        <v>7</v>
      </c>
      <c r="C92" s="2" t="str">
        <f t="shared" si="3"/>
        <v>Tuesday</v>
      </c>
      <c r="D92" s="2">
        <f t="shared" si="4"/>
        <v>7</v>
      </c>
      <c r="E92" s="2" t="str">
        <f t="shared" si="5"/>
        <v>February</v>
      </c>
    </row>
    <row r="93" spans="1:5" x14ac:dyDescent="0.3">
      <c r="A93" s="1">
        <v>42409</v>
      </c>
      <c r="B93" t="s">
        <v>15</v>
      </c>
      <c r="C93" s="2" t="str">
        <f t="shared" si="3"/>
        <v>Tuesday</v>
      </c>
      <c r="D93" s="2">
        <f t="shared" si="4"/>
        <v>7</v>
      </c>
      <c r="E93" s="2" t="str">
        <f t="shared" si="5"/>
        <v>February</v>
      </c>
    </row>
    <row r="94" spans="1:5" x14ac:dyDescent="0.3">
      <c r="A94" s="1">
        <v>42409</v>
      </c>
      <c r="B94" t="s">
        <v>11</v>
      </c>
      <c r="C94" s="2" t="str">
        <f t="shared" si="3"/>
        <v>Tuesday</v>
      </c>
      <c r="D94" s="2">
        <f t="shared" si="4"/>
        <v>7</v>
      </c>
      <c r="E94" s="2" t="str">
        <f t="shared" si="5"/>
        <v>February</v>
      </c>
    </row>
    <row r="95" spans="1:5" x14ac:dyDescent="0.3">
      <c r="A95" s="1">
        <v>42409</v>
      </c>
      <c r="B95" t="s">
        <v>11</v>
      </c>
      <c r="C95" s="2" t="str">
        <f t="shared" si="3"/>
        <v>Tuesday</v>
      </c>
      <c r="D95" s="2">
        <f t="shared" si="4"/>
        <v>7</v>
      </c>
      <c r="E95" s="2" t="str">
        <f t="shared" si="5"/>
        <v>February</v>
      </c>
    </row>
    <row r="96" spans="1:5" x14ac:dyDescent="0.3">
      <c r="A96" s="1">
        <v>42409</v>
      </c>
      <c r="B96" t="s">
        <v>8</v>
      </c>
      <c r="C96" s="2" t="str">
        <f t="shared" si="3"/>
        <v>Tuesday</v>
      </c>
      <c r="D96" s="2">
        <f t="shared" si="4"/>
        <v>7</v>
      </c>
      <c r="E96" s="2" t="str">
        <f t="shared" si="5"/>
        <v>February</v>
      </c>
    </row>
    <row r="97" spans="1:5" x14ac:dyDescent="0.3">
      <c r="A97" s="1">
        <v>42411</v>
      </c>
      <c r="B97" t="s">
        <v>2</v>
      </c>
      <c r="C97" s="2" t="str">
        <f t="shared" si="3"/>
        <v>Thursday</v>
      </c>
      <c r="D97" s="2">
        <f t="shared" si="4"/>
        <v>7</v>
      </c>
      <c r="E97" s="2" t="str">
        <f t="shared" si="5"/>
        <v>February</v>
      </c>
    </row>
    <row r="98" spans="1:5" x14ac:dyDescent="0.3">
      <c r="A98" s="1">
        <v>42411</v>
      </c>
      <c r="B98" t="s">
        <v>2</v>
      </c>
      <c r="C98" s="2" t="str">
        <f t="shared" si="3"/>
        <v>Thursday</v>
      </c>
      <c r="D98" s="2">
        <f t="shared" si="4"/>
        <v>7</v>
      </c>
      <c r="E98" s="2" t="str">
        <f t="shared" si="5"/>
        <v>February</v>
      </c>
    </row>
    <row r="99" spans="1:5" x14ac:dyDescent="0.3">
      <c r="A99" s="1">
        <v>42411</v>
      </c>
      <c r="B99" t="s">
        <v>2</v>
      </c>
      <c r="C99" s="2" t="str">
        <f t="shared" si="3"/>
        <v>Thursday</v>
      </c>
      <c r="D99" s="2">
        <f t="shared" si="4"/>
        <v>7</v>
      </c>
      <c r="E99" s="2" t="str">
        <f t="shared" si="5"/>
        <v>February</v>
      </c>
    </row>
    <row r="100" spans="1:5" x14ac:dyDescent="0.3">
      <c r="A100" s="1">
        <v>42411</v>
      </c>
      <c r="B100" t="s">
        <v>2</v>
      </c>
      <c r="C100" s="2" t="str">
        <f t="shared" si="3"/>
        <v>Thursday</v>
      </c>
      <c r="D100" s="2">
        <f t="shared" si="4"/>
        <v>7</v>
      </c>
      <c r="E100" s="2" t="str">
        <f t="shared" si="5"/>
        <v>February</v>
      </c>
    </row>
    <row r="101" spans="1:5" x14ac:dyDescent="0.3">
      <c r="A101" s="1">
        <v>42412</v>
      </c>
      <c r="B101" t="s">
        <v>6</v>
      </c>
      <c r="C101" s="2" t="str">
        <f t="shared" si="3"/>
        <v>Friday</v>
      </c>
      <c r="D101" s="2">
        <f t="shared" si="4"/>
        <v>7</v>
      </c>
      <c r="E101" s="2" t="str">
        <f t="shared" si="5"/>
        <v>February</v>
      </c>
    </row>
    <row r="102" spans="1:5" x14ac:dyDescent="0.3">
      <c r="A102" s="1">
        <v>42412</v>
      </c>
      <c r="B102" t="s">
        <v>9</v>
      </c>
      <c r="C102" s="2" t="str">
        <f t="shared" si="3"/>
        <v>Friday</v>
      </c>
      <c r="D102" s="2">
        <f t="shared" si="4"/>
        <v>7</v>
      </c>
      <c r="E102" s="2" t="str">
        <f t="shared" si="5"/>
        <v>February</v>
      </c>
    </row>
    <row r="103" spans="1:5" x14ac:dyDescent="0.3">
      <c r="A103" s="1">
        <v>42415</v>
      </c>
      <c r="B103" t="s">
        <v>8</v>
      </c>
      <c r="C103" s="2" t="str">
        <f t="shared" si="3"/>
        <v>Monday</v>
      </c>
      <c r="D103" s="2">
        <f t="shared" si="4"/>
        <v>8</v>
      </c>
      <c r="E103" s="2" t="str">
        <f t="shared" si="5"/>
        <v>February</v>
      </c>
    </row>
    <row r="104" spans="1:5" x14ac:dyDescent="0.3">
      <c r="A104" s="1">
        <v>42416</v>
      </c>
      <c r="B104" t="s">
        <v>2</v>
      </c>
      <c r="C104" s="2" t="str">
        <f t="shared" si="3"/>
        <v>Tuesday</v>
      </c>
      <c r="D104" s="2">
        <f t="shared" si="4"/>
        <v>8</v>
      </c>
      <c r="E104" s="2" t="str">
        <f t="shared" si="5"/>
        <v>February</v>
      </c>
    </row>
    <row r="105" spans="1:5" x14ac:dyDescent="0.3">
      <c r="A105" s="1">
        <v>42417</v>
      </c>
      <c r="B105" t="s">
        <v>2</v>
      </c>
      <c r="C105" s="2" t="str">
        <f t="shared" si="3"/>
        <v>Wednesday</v>
      </c>
      <c r="D105" s="2">
        <f t="shared" si="4"/>
        <v>8</v>
      </c>
      <c r="E105" s="2" t="str">
        <f t="shared" si="5"/>
        <v>February</v>
      </c>
    </row>
    <row r="106" spans="1:5" x14ac:dyDescent="0.3">
      <c r="A106" s="1">
        <v>42417</v>
      </c>
      <c r="B106" t="s">
        <v>4</v>
      </c>
      <c r="C106" s="2" t="str">
        <f t="shared" si="3"/>
        <v>Wednesday</v>
      </c>
      <c r="D106" s="2">
        <f t="shared" si="4"/>
        <v>8</v>
      </c>
      <c r="E106" s="2" t="str">
        <f t="shared" si="5"/>
        <v>February</v>
      </c>
    </row>
    <row r="107" spans="1:5" x14ac:dyDescent="0.3">
      <c r="A107" s="1">
        <v>42417</v>
      </c>
      <c r="B107" t="s">
        <v>7</v>
      </c>
      <c r="C107" s="2" t="str">
        <f t="shared" si="3"/>
        <v>Wednesday</v>
      </c>
      <c r="D107" s="2">
        <f t="shared" si="4"/>
        <v>8</v>
      </c>
      <c r="E107" s="2" t="str">
        <f t="shared" si="5"/>
        <v>February</v>
      </c>
    </row>
    <row r="108" spans="1:5" x14ac:dyDescent="0.3">
      <c r="A108" s="1">
        <v>42418</v>
      </c>
      <c r="B108" t="s">
        <v>8</v>
      </c>
      <c r="C108" s="2" t="str">
        <f t="shared" si="3"/>
        <v>Thursday</v>
      </c>
      <c r="D108" s="2">
        <f t="shared" si="4"/>
        <v>8</v>
      </c>
      <c r="E108" s="2" t="str">
        <f t="shared" si="5"/>
        <v>February</v>
      </c>
    </row>
    <row r="109" spans="1:5" x14ac:dyDescent="0.3">
      <c r="A109" s="1">
        <v>42419</v>
      </c>
      <c r="B109" t="s">
        <v>3</v>
      </c>
      <c r="C109" s="2" t="str">
        <f t="shared" si="3"/>
        <v>Friday</v>
      </c>
      <c r="D109" s="2">
        <f t="shared" si="4"/>
        <v>8</v>
      </c>
      <c r="E109" s="2" t="str">
        <f t="shared" si="5"/>
        <v>February</v>
      </c>
    </row>
    <row r="110" spans="1:5" x14ac:dyDescent="0.3">
      <c r="A110" s="1">
        <v>42422</v>
      </c>
      <c r="B110" t="s">
        <v>8</v>
      </c>
      <c r="C110" s="2" t="str">
        <f t="shared" si="3"/>
        <v>Monday</v>
      </c>
      <c r="D110" s="2">
        <f t="shared" si="4"/>
        <v>9</v>
      </c>
      <c r="E110" s="2" t="str">
        <f t="shared" si="5"/>
        <v>February</v>
      </c>
    </row>
    <row r="111" spans="1:5" x14ac:dyDescent="0.3">
      <c r="A111" s="1">
        <v>42422</v>
      </c>
      <c r="B111" t="s">
        <v>12</v>
      </c>
      <c r="C111" s="2" t="str">
        <f t="shared" si="3"/>
        <v>Monday</v>
      </c>
      <c r="D111" s="2">
        <f t="shared" si="4"/>
        <v>9</v>
      </c>
      <c r="E111" s="2" t="str">
        <f t="shared" si="5"/>
        <v>February</v>
      </c>
    </row>
    <row r="112" spans="1:5" x14ac:dyDescent="0.3">
      <c r="A112" s="1">
        <v>42422</v>
      </c>
      <c r="B112" t="s">
        <v>4</v>
      </c>
      <c r="C112" s="2" t="str">
        <f t="shared" si="3"/>
        <v>Monday</v>
      </c>
      <c r="D112" s="2">
        <f t="shared" si="4"/>
        <v>9</v>
      </c>
      <c r="E112" s="2" t="str">
        <f t="shared" si="5"/>
        <v>February</v>
      </c>
    </row>
    <row r="113" spans="1:5" x14ac:dyDescent="0.3">
      <c r="A113" s="1">
        <v>42422</v>
      </c>
      <c r="B113" t="s">
        <v>4</v>
      </c>
      <c r="C113" s="2" t="str">
        <f t="shared" si="3"/>
        <v>Monday</v>
      </c>
      <c r="D113" s="2">
        <f t="shared" si="4"/>
        <v>9</v>
      </c>
      <c r="E113" s="2" t="str">
        <f t="shared" si="5"/>
        <v>February</v>
      </c>
    </row>
    <row r="114" spans="1:5" x14ac:dyDescent="0.3">
      <c r="A114" s="1">
        <v>42423</v>
      </c>
      <c r="B114" t="s">
        <v>7</v>
      </c>
      <c r="C114" s="2" t="str">
        <f t="shared" si="3"/>
        <v>Tuesday</v>
      </c>
      <c r="D114" s="2">
        <f t="shared" si="4"/>
        <v>9</v>
      </c>
      <c r="E114" s="2" t="str">
        <f t="shared" si="5"/>
        <v>February</v>
      </c>
    </row>
    <row r="115" spans="1:5" x14ac:dyDescent="0.3">
      <c r="A115" s="1">
        <v>42424</v>
      </c>
      <c r="B115" t="s">
        <v>7</v>
      </c>
      <c r="C115" s="2" t="str">
        <f t="shared" si="3"/>
        <v>Wednesday</v>
      </c>
      <c r="D115" s="2">
        <f t="shared" si="4"/>
        <v>9</v>
      </c>
      <c r="E115" s="2" t="str">
        <f t="shared" si="5"/>
        <v>February</v>
      </c>
    </row>
    <row r="116" spans="1:5" x14ac:dyDescent="0.3">
      <c r="A116" s="1">
        <v>42424</v>
      </c>
      <c r="B116" t="s">
        <v>8</v>
      </c>
      <c r="C116" s="2" t="str">
        <f t="shared" si="3"/>
        <v>Wednesday</v>
      </c>
      <c r="D116" s="2">
        <f t="shared" si="4"/>
        <v>9</v>
      </c>
      <c r="E116" s="2" t="str">
        <f t="shared" si="5"/>
        <v>February</v>
      </c>
    </row>
    <row r="117" spans="1:5" x14ac:dyDescent="0.3">
      <c r="A117" s="1">
        <v>42424</v>
      </c>
      <c r="B117" t="s">
        <v>8</v>
      </c>
      <c r="C117" s="2" t="str">
        <f t="shared" si="3"/>
        <v>Wednesday</v>
      </c>
      <c r="D117" s="2">
        <f t="shared" si="4"/>
        <v>9</v>
      </c>
      <c r="E117" s="2" t="str">
        <f t="shared" si="5"/>
        <v>February</v>
      </c>
    </row>
    <row r="118" spans="1:5" x14ac:dyDescent="0.3">
      <c r="A118" s="1">
        <v>42425</v>
      </c>
      <c r="B118" t="s">
        <v>7</v>
      </c>
      <c r="C118" s="2" t="str">
        <f t="shared" si="3"/>
        <v>Thursday</v>
      </c>
      <c r="D118" s="2">
        <f t="shared" si="4"/>
        <v>9</v>
      </c>
      <c r="E118" s="2" t="str">
        <f t="shared" si="5"/>
        <v>February</v>
      </c>
    </row>
    <row r="119" spans="1:5" x14ac:dyDescent="0.3">
      <c r="A119" s="1">
        <v>42425</v>
      </c>
      <c r="B119" t="s">
        <v>9</v>
      </c>
      <c r="C119" s="2" t="str">
        <f t="shared" si="3"/>
        <v>Thursday</v>
      </c>
      <c r="D119" s="2">
        <f t="shared" si="4"/>
        <v>9</v>
      </c>
      <c r="E119" s="2" t="str">
        <f t="shared" si="5"/>
        <v>February</v>
      </c>
    </row>
    <row r="120" spans="1:5" x14ac:dyDescent="0.3">
      <c r="A120" s="1">
        <v>42425</v>
      </c>
      <c r="B120" t="s">
        <v>5</v>
      </c>
      <c r="C120" s="2" t="str">
        <f t="shared" si="3"/>
        <v>Thursday</v>
      </c>
      <c r="D120" s="2">
        <f t="shared" si="4"/>
        <v>9</v>
      </c>
      <c r="E120" s="2" t="str">
        <f t="shared" si="5"/>
        <v>February</v>
      </c>
    </row>
    <row r="121" spans="1:5" x14ac:dyDescent="0.3">
      <c r="A121" s="1">
        <v>42425</v>
      </c>
      <c r="B121" t="s">
        <v>2</v>
      </c>
      <c r="C121" s="2" t="str">
        <f t="shared" si="3"/>
        <v>Thursday</v>
      </c>
      <c r="D121" s="2">
        <f t="shared" si="4"/>
        <v>9</v>
      </c>
      <c r="E121" s="2" t="str">
        <f t="shared" si="5"/>
        <v>February</v>
      </c>
    </row>
    <row r="122" spans="1:5" x14ac:dyDescent="0.3">
      <c r="A122" s="1">
        <v>42426</v>
      </c>
      <c r="B122" t="s">
        <v>2</v>
      </c>
      <c r="C122" s="2" t="str">
        <f t="shared" si="3"/>
        <v>Friday</v>
      </c>
      <c r="D122" s="2">
        <f t="shared" si="4"/>
        <v>9</v>
      </c>
      <c r="E122" s="2" t="str">
        <f t="shared" si="5"/>
        <v>February</v>
      </c>
    </row>
    <row r="123" spans="1:5" x14ac:dyDescent="0.3">
      <c r="A123" s="1">
        <v>42426</v>
      </c>
      <c r="B123" t="s">
        <v>6</v>
      </c>
      <c r="C123" s="2" t="str">
        <f t="shared" si="3"/>
        <v>Friday</v>
      </c>
      <c r="D123" s="2">
        <f t="shared" si="4"/>
        <v>9</v>
      </c>
      <c r="E123" s="2" t="str">
        <f t="shared" si="5"/>
        <v>February</v>
      </c>
    </row>
    <row r="124" spans="1:5" x14ac:dyDescent="0.3">
      <c r="A124" s="1">
        <v>42427</v>
      </c>
      <c r="B124" t="s">
        <v>6</v>
      </c>
      <c r="C124" s="2" t="str">
        <f t="shared" si="3"/>
        <v>Saturday</v>
      </c>
      <c r="D124" s="2">
        <f t="shared" si="4"/>
        <v>9</v>
      </c>
      <c r="E124" s="2" t="str">
        <f t="shared" si="5"/>
        <v>February</v>
      </c>
    </row>
    <row r="125" spans="1:5" x14ac:dyDescent="0.3">
      <c r="A125" s="1">
        <v>42430</v>
      </c>
      <c r="B125" t="s">
        <v>8</v>
      </c>
      <c r="C125" s="2" t="str">
        <f t="shared" si="3"/>
        <v>Tuesday</v>
      </c>
      <c r="D125" s="2">
        <f t="shared" si="4"/>
        <v>10</v>
      </c>
      <c r="E125" s="2" t="str">
        <f t="shared" si="5"/>
        <v>March</v>
      </c>
    </row>
    <row r="126" spans="1:5" x14ac:dyDescent="0.3">
      <c r="A126" s="1">
        <v>42430</v>
      </c>
      <c r="B126" t="s">
        <v>8</v>
      </c>
      <c r="C126" s="2" t="str">
        <f t="shared" si="3"/>
        <v>Tuesday</v>
      </c>
      <c r="D126" s="2">
        <f t="shared" si="4"/>
        <v>10</v>
      </c>
      <c r="E126" s="2" t="str">
        <f t="shared" si="5"/>
        <v>March</v>
      </c>
    </row>
    <row r="127" spans="1:5" x14ac:dyDescent="0.3">
      <c r="A127" s="1">
        <v>42430</v>
      </c>
      <c r="B127" t="s">
        <v>7</v>
      </c>
      <c r="C127" s="2" t="str">
        <f t="shared" si="3"/>
        <v>Tuesday</v>
      </c>
      <c r="D127" s="2">
        <f t="shared" si="4"/>
        <v>10</v>
      </c>
      <c r="E127" s="2" t="str">
        <f t="shared" si="5"/>
        <v>March</v>
      </c>
    </row>
    <row r="128" spans="1:5" x14ac:dyDescent="0.3">
      <c r="A128" s="1">
        <v>42430</v>
      </c>
      <c r="B128" t="s">
        <v>9</v>
      </c>
      <c r="C128" s="2" t="str">
        <f t="shared" si="3"/>
        <v>Tuesday</v>
      </c>
      <c r="D128" s="2">
        <f t="shared" si="4"/>
        <v>10</v>
      </c>
      <c r="E128" s="2" t="str">
        <f t="shared" si="5"/>
        <v>March</v>
      </c>
    </row>
    <row r="129" spans="1:5" x14ac:dyDescent="0.3">
      <c r="A129" s="1">
        <v>42430</v>
      </c>
      <c r="B129" t="s">
        <v>8</v>
      </c>
      <c r="C129" s="2" t="str">
        <f t="shared" si="3"/>
        <v>Tuesday</v>
      </c>
      <c r="D129" s="2">
        <f t="shared" si="4"/>
        <v>10</v>
      </c>
      <c r="E129" s="2" t="str">
        <f t="shared" si="5"/>
        <v>March</v>
      </c>
    </row>
    <row r="130" spans="1:5" x14ac:dyDescent="0.3">
      <c r="A130" s="1">
        <v>42430</v>
      </c>
      <c r="B130" t="s">
        <v>8</v>
      </c>
      <c r="C130" s="2" t="str">
        <f t="shared" ref="C130:C193" si="6">TEXT(A130,"dddd")</f>
        <v>Tuesday</v>
      </c>
      <c r="D130" s="2">
        <f t="shared" ref="D130:D193" si="7">WEEKNUM(A130,1)</f>
        <v>10</v>
      </c>
      <c r="E130" s="2" t="str">
        <f t="shared" ref="E130:E193" si="8">TEXT(A130,"mmmm")</f>
        <v>March</v>
      </c>
    </row>
    <row r="131" spans="1:5" x14ac:dyDescent="0.3">
      <c r="A131" s="1">
        <v>42430</v>
      </c>
      <c r="B131" t="s">
        <v>2</v>
      </c>
      <c r="C131" s="2" t="str">
        <f t="shared" si="6"/>
        <v>Tuesday</v>
      </c>
      <c r="D131" s="2">
        <f t="shared" si="7"/>
        <v>10</v>
      </c>
      <c r="E131" s="2" t="str">
        <f t="shared" si="8"/>
        <v>March</v>
      </c>
    </row>
    <row r="132" spans="1:5" x14ac:dyDescent="0.3">
      <c r="A132" s="1">
        <v>42431</v>
      </c>
      <c r="B132" t="s">
        <v>6</v>
      </c>
      <c r="C132" s="2" t="str">
        <f t="shared" si="6"/>
        <v>Wednesday</v>
      </c>
      <c r="D132" s="2">
        <f t="shared" si="7"/>
        <v>10</v>
      </c>
      <c r="E132" s="2" t="str">
        <f t="shared" si="8"/>
        <v>March</v>
      </c>
    </row>
    <row r="133" spans="1:5" x14ac:dyDescent="0.3">
      <c r="A133" s="1">
        <v>42431</v>
      </c>
      <c r="B133" t="s">
        <v>6</v>
      </c>
      <c r="C133" s="2" t="str">
        <f t="shared" si="6"/>
        <v>Wednesday</v>
      </c>
      <c r="D133" s="2">
        <f t="shared" si="7"/>
        <v>10</v>
      </c>
      <c r="E133" s="2" t="str">
        <f t="shared" si="8"/>
        <v>March</v>
      </c>
    </row>
    <row r="134" spans="1:5" x14ac:dyDescent="0.3">
      <c r="A134" s="1">
        <v>42431</v>
      </c>
      <c r="B134" t="s">
        <v>8</v>
      </c>
      <c r="C134" s="2" t="str">
        <f t="shared" si="6"/>
        <v>Wednesday</v>
      </c>
      <c r="D134" s="2">
        <f t="shared" si="7"/>
        <v>10</v>
      </c>
      <c r="E134" s="2" t="str">
        <f t="shared" si="8"/>
        <v>March</v>
      </c>
    </row>
    <row r="135" spans="1:5" x14ac:dyDescent="0.3">
      <c r="A135" s="1">
        <v>42432</v>
      </c>
      <c r="B135" t="s">
        <v>7</v>
      </c>
      <c r="C135" s="2" t="str">
        <f t="shared" si="6"/>
        <v>Thursday</v>
      </c>
      <c r="D135" s="2">
        <f t="shared" si="7"/>
        <v>10</v>
      </c>
      <c r="E135" s="2" t="str">
        <f t="shared" si="8"/>
        <v>March</v>
      </c>
    </row>
    <row r="136" spans="1:5" x14ac:dyDescent="0.3">
      <c r="A136" s="1">
        <v>42432</v>
      </c>
      <c r="B136" t="s">
        <v>7</v>
      </c>
      <c r="C136" s="2" t="str">
        <f t="shared" si="6"/>
        <v>Thursday</v>
      </c>
      <c r="D136" s="2">
        <f t="shared" si="7"/>
        <v>10</v>
      </c>
      <c r="E136" s="2" t="str">
        <f t="shared" si="8"/>
        <v>March</v>
      </c>
    </row>
    <row r="137" spans="1:5" x14ac:dyDescent="0.3">
      <c r="A137" s="1">
        <v>42432</v>
      </c>
      <c r="B137" t="s">
        <v>8</v>
      </c>
      <c r="C137" s="2" t="str">
        <f t="shared" si="6"/>
        <v>Thursday</v>
      </c>
      <c r="D137" s="2">
        <f t="shared" si="7"/>
        <v>10</v>
      </c>
      <c r="E137" s="2" t="str">
        <f t="shared" si="8"/>
        <v>March</v>
      </c>
    </row>
    <row r="138" spans="1:5" x14ac:dyDescent="0.3">
      <c r="A138" s="1">
        <v>42432</v>
      </c>
      <c r="B138" t="s">
        <v>2</v>
      </c>
      <c r="C138" s="2" t="str">
        <f t="shared" si="6"/>
        <v>Thursday</v>
      </c>
      <c r="D138" s="2">
        <f t="shared" si="7"/>
        <v>10</v>
      </c>
      <c r="E138" s="2" t="str">
        <f t="shared" si="8"/>
        <v>March</v>
      </c>
    </row>
    <row r="139" spans="1:5" x14ac:dyDescent="0.3">
      <c r="A139" s="1">
        <v>42432</v>
      </c>
      <c r="B139" t="s">
        <v>2</v>
      </c>
      <c r="C139" s="2" t="str">
        <f t="shared" si="6"/>
        <v>Thursday</v>
      </c>
      <c r="D139" s="2">
        <f t="shared" si="7"/>
        <v>10</v>
      </c>
      <c r="E139" s="2" t="str">
        <f t="shared" si="8"/>
        <v>March</v>
      </c>
    </row>
    <row r="140" spans="1:5" x14ac:dyDescent="0.3">
      <c r="A140" s="1">
        <v>42432</v>
      </c>
      <c r="B140" t="s">
        <v>4</v>
      </c>
      <c r="C140" s="2" t="str">
        <f t="shared" si="6"/>
        <v>Thursday</v>
      </c>
      <c r="D140" s="2">
        <f t="shared" si="7"/>
        <v>10</v>
      </c>
      <c r="E140" s="2" t="str">
        <f t="shared" si="8"/>
        <v>March</v>
      </c>
    </row>
    <row r="141" spans="1:5" x14ac:dyDescent="0.3">
      <c r="A141" s="1">
        <v>42432</v>
      </c>
      <c r="B141" t="s">
        <v>9</v>
      </c>
      <c r="C141" s="2" t="str">
        <f t="shared" si="6"/>
        <v>Thursday</v>
      </c>
      <c r="D141" s="2">
        <f t="shared" si="7"/>
        <v>10</v>
      </c>
      <c r="E141" s="2" t="str">
        <f t="shared" si="8"/>
        <v>March</v>
      </c>
    </row>
    <row r="142" spans="1:5" x14ac:dyDescent="0.3">
      <c r="A142" s="1">
        <v>42432</v>
      </c>
      <c r="B142" t="s">
        <v>9</v>
      </c>
      <c r="C142" s="2" t="str">
        <f t="shared" si="6"/>
        <v>Thursday</v>
      </c>
      <c r="D142" s="2">
        <f t="shared" si="7"/>
        <v>10</v>
      </c>
      <c r="E142" s="2" t="str">
        <f t="shared" si="8"/>
        <v>March</v>
      </c>
    </row>
    <row r="143" spans="1:5" x14ac:dyDescent="0.3">
      <c r="A143" s="1">
        <v>42432</v>
      </c>
      <c r="B143" t="s">
        <v>9</v>
      </c>
      <c r="C143" s="2" t="str">
        <f t="shared" si="6"/>
        <v>Thursday</v>
      </c>
      <c r="D143" s="2">
        <f t="shared" si="7"/>
        <v>10</v>
      </c>
      <c r="E143" s="2" t="str">
        <f t="shared" si="8"/>
        <v>March</v>
      </c>
    </row>
    <row r="144" spans="1:5" x14ac:dyDescent="0.3">
      <c r="A144" s="1">
        <v>42432</v>
      </c>
      <c r="B144" t="s">
        <v>7</v>
      </c>
      <c r="C144" s="2" t="str">
        <f t="shared" si="6"/>
        <v>Thursday</v>
      </c>
      <c r="D144" s="2">
        <f t="shared" si="7"/>
        <v>10</v>
      </c>
      <c r="E144" s="2" t="str">
        <f t="shared" si="8"/>
        <v>March</v>
      </c>
    </row>
    <row r="145" spans="1:5" x14ac:dyDescent="0.3">
      <c r="A145" s="1">
        <v>42433</v>
      </c>
      <c r="B145" t="s">
        <v>2</v>
      </c>
      <c r="C145" s="2" t="str">
        <f t="shared" si="6"/>
        <v>Friday</v>
      </c>
      <c r="D145" s="2">
        <f t="shared" si="7"/>
        <v>10</v>
      </c>
      <c r="E145" s="2" t="str">
        <f t="shared" si="8"/>
        <v>March</v>
      </c>
    </row>
    <row r="146" spans="1:5" x14ac:dyDescent="0.3">
      <c r="A146" s="1">
        <v>42433</v>
      </c>
      <c r="B146" t="s">
        <v>2</v>
      </c>
      <c r="C146" s="2" t="str">
        <f t="shared" si="6"/>
        <v>Friday</v>
      </c>
      <c r="D146" s="2">
        <f t="shared" si="7"/>
        <v>10</v>
      </c>
      <c r="E146" s="2" t="str">
        <f t="shared" si="8"/>
        <v>March</v>
      </c>
    </row>
    <row r="147" spans="1:5" x14ac:dyDescent="0.3">
      <c r="A147" s="1">
        <v>42433</v>
      </c>
      <c r="B147" t="s">
        <v>2</v>
      </c>
      <c r="C147" s="2" t="str">
        <f t="shared" si="6"/>
        <v>Friday</v>
      </c>
      <c r="D147" s="2">
        <f t="shared" si="7"/>
        <v>10</v>
      </c>
      <c r="E147" s="2" t="str">
        <f t="shared" si="8"/>
        <v>March</v>
      </c>
    </row>
    <row r="148" spans="1:5" x14ac:dyDescent="0.3">
      <c r="A148" s="1">
        <v>42436</v>
      </c>
      <c r="B148" t="s">
        <v>5</v>
      </c>
      <c r="C148" s="2" t="str">
        <f t="shared" si="6"/>
        <v>Monday</v>
      </c>
      <c r="D148" s="2">
        <f t="shared" si="7"/>
        <v>11</v>
      </c>
      <c r="E148" s="2" t="str">
        <f t="shared" si="8"/>
        <v>March</v>
      </c>
    </row>
    <row r="149" spans="1:5" x14ac:dyDescent="0.3">
      <c r="A149" s="1">
        <v>42436</v>
      </c>
      <c r="B149" t="s">
        <v>6</v>
      </c>
      <c r="C149" s="2" t="str">
        <f t="shared" si="6"/>
        <v>Monday</v>
      </c>
      <c r="D149" s="2">
        <f t="shared" si="7"/>
        <v>11</v>
      </c>
      <c r="E149" s="2" t="str">
        <f t="shared" si="8"/>
        <v>March</v>
      </c>
    </row>
    <row r="150" spans="1:5" x14ac:dyDescent="0.3">
      <c r="A150" s="1">
        <v>42436</v>
      </c>
      <c r="B150" t="s">
        <v>7</v>
      </c>
      <c r="C150" s="2" t="str">
        <f t="shared" si="6"/>
        <v>Monday</v>
      </c>
      <c r="D150" s="2">
        <f t="shared" si="7"/>
        <v>11</v>
      </c>
      <c r="E150" s="2" t="str">
        <f t="shared" si="8"/>
        <v>March</v>
      </c>
    </row>
    <row r="151" spans="1:5" x14ac:dyDescent="0.3">
      <c r="A151" s="1">
        <v>42436</v>
      </c>
      <c r="B151" t="s">
        <v>2</v>
      </c>
      <c r="C151" s="2" t="str">
        <f t="shared" si="6"/>
        <v>Monday</v>
      </c>
      <c r="D151" s="2">
        <f t="shared" si="7"/>
        <v>11</v>
      </c>
      <c r="E151" s="2" t="str">
        <f t="shared" si="8"/>
        <v>March</v>
      </c>
    </row>
    <row r="152" spans="1:5" x14ac:dyDescent="0.3">
      <c r="A152" s="1">
        <v>42436</v>
      </c>
      <c r="B152" t="s">
        <v>8</v>
      </c>
      <c r="C152" s="2" t="str">
        <f t="shared" si="6"/>
        <v>Monday</v>
      </c>
      <c r="D152" s="2">
        <f t="shared" si="7"/>
        <v>11</v>
      </c>
      <c r="E152" s="2" t="str">
        <f t="shared" si="8"/>
        <v>March</v>
      </c>
    </row>
    <row r="153" spans="1:5" x14ac:dyDescent="0.3">
      <c r="A153" s="1">
        <v>42436</v>
      </c>
      <c r="B153" t="s">
        <v>15</v>
      </c>
      <c r="C153" s="2" t="str">
        <f t="shared" si="6"/>
        <v>Monday</v>
      </c>
      <c r="D153" s="2">
        <f t="shared" si="7"/>
        <v>11</v>
      </c>
      <c r="E153" s="2" t="str">
        <f t="shared" si="8"/>
        <v>March</v>
      </c>
    </row>
    <row r="154" spans="1:5" x14ac:dyDescent="0.3">
      <c r="A154" s="1">
        <v>42437</v>
      </c>
      <c r="B154" t="s">
        <v>9</v>
      </c>
      <c r="C154" s="2" t="str">
        <f t="shared" si="6"/>
        <v>Tuesday</v>
      </c>
      <c r="D154" s="2">
        <f t="shared" si="7"/>
        <v>11</v>
      </c>
      <c r="E154" s="2" t="str">
        <f t="shared" si="8"/>
        <v>March</v>
      </c>
    </row>
    <row r="155" spans="1:5" x14ac:dyDescent="0.3">
      <c r="A155" s="1">
        <v>42437</v>
      </c>
      <c r="B155" t="s">
        <v>8</v>
      </c>
      <c r="C155" s="2" t="str">
        <f t="shared" si="6"/>
        <v>Tuesday</v>
      </c>
      <c r="D155" s="2">
        <f t="shared" si="7"/>
        <v>11</v>
      </c>
      <c r="E155" s="2" t="str">
        <f t="shared" si="8"/>
        <v>March</v>
      </c>
    </row>
    <row r="156" spans="1:5" x14ac:dyDescent="0.3">
      <c r="A156" s="1">
        <v>42437</v>
      </c>
      <c r="B156" t="s">
        <v>12</v>
      </c>
      <c r="C156" s="2" t="str">
        <f t="shared" si="6"/>
        <v>Tuesday</v>
      </c>
      <c r="D156" s="2">
        <f t="shared" si="7"/>
        <v>11</v>
      </c>
      <c r="E156" s="2" t="str">
        <f t="shared" si="8"/>
        <v>March</v>
      </c>
    </row>
    <row r="157" spans="1:5" x14ac:dyDescent="0.3">
      <c r="A157" s="1">
        <v>42437</v>
      </c>
      <c r="B157" t="s">
        <v>7</v>
      </c>
      <c r="C157" s="2" t="str">
        <f t="shared" si="6"/>
        <v>Tuesday</v>
      </c>
      <c r="D157" s="2">
        <f t="shared" si="7"/>
        <v>11</v>
      </c>
      <c r="E157" s="2" t="str">
        <f t="shared" si="8"/>
        <v>March</v>
      </c>
    </row>
    <row r="158" spans="1:5" x14ac:dyDescent="0.3">
      <c r="A158" s="1">
        <v>42437</v>
      </c>
      <c r="B158" t="s">
        <v>7</v>
      </c>
      <c r="C158" s="2" t="str">
        <f t="shared" si="6"/>
        <v>Tuesday</v>
      </c>
      <c r="D158" s="2">
        <f t="shared" si="7"/>
        <v>11</v>
      </c>
      <c r="E158" s="2" t="str">
        <f t="shared" si="8"/>
        <v>March</v>
      </c>
    </row>
    <row r="159" spans="1:5" x14ac:dyDescent="0.3">
      <c r="A159" s="1">
        <v>42437</v>
      </c>
      <c r="B159" t="s">
        <v>8</v>
      </c>
      <c r="C159" s="2" t="str">
        <f t="shared" si="6"/>
        <v>Tuesday</v>
      </c>
      <c r="D159" s="2">
        <f t="shared" si="7"/>
        <v>11</v>
      </c>
      <c r="E159" s="2" t="str">
        <f t="shared" si="8"/>
        <v>March</v>
      </c>
    </row>
    <row r="160" spans="1:5" x14ac:dyDescent="0.3">
      <c r="A160" s="1">
        <v>42437</v>
      </c>
      <c r="B160" t="s">
        <v>2</v>
      </c>
      <c r="C160" s="2" t="str">
        <f t="shared" si="6"/>
        <v>Tuesday</v>
      </c>
      <c r="D160" s="2">
        <f t="shared" si="7"/>
        <v>11</v>
      </c>
      <c r="E160" s="2" t="str">
        <f t="shared" si="8"/>
        <v>March</v>
      </c>
    </row>
    <row r="161" spans="1:5" x14ac:dyDescent="0.3">
      <c r="A161" s="1">
        <v>42437</v>
      </c>
      <c r="B161" t="s">
        <v>2</v>
      </c>
      <c r="C161" s="2" t="str">
        <f t="shared" si="6"/>
        <v>Tuesday</v>
      </c>
      <c r="D161" s="2">
        <f t="shared" si="7"/>
        <v>11</v>
      </c>
      <c r="E161" s="2" t="str">
        <f t="shared" si="8"/>
        <v>March</v>
      </c>
    </row>
    <row r="162" spans="1:5" x14ac:dyDescent="0.3">
      <c r="A162" s="1">
        <v>42437</v>
      </c>
      <c r="B162" t="s">
        <v>6</v>
      </c>
      <c r="C162" s="2" t="str">
        <f t="shared" si="6"/>
        <v>Tuesday</v>
      </c>
      <c r="D162" s="2">
        <f t="shared" si="7"/>
        <v>11</v>
      </c>
      <c r="E162" s="2" t="str">
        <f t="shared" si="8"/>
        <v>March</v>
      </c>
    </row>
    <row r="163" spans="1:5" x14ac:dyDescent="0.3">
      <c r="A163" s="1">
        <v>42438</v>
      </c>
      <c r="B163" t="s">
        <v>9</v>
      </c>
      <c r="C163" s="2" t="str">
        <f t="shared" si="6"/>
        <v>Wednesday</v>
      </c>
      <c r="D163" s="2">
        <f t="shared" si="7"/>
        <v>11</v>
      </c>
      <c r="E163" s="2" t="str">
        <f t="shared" si="8"/>
        <v>March</v>
      </c>
    </row>
    <row r="164" spans="1:5" x14ac:dyDescent="0.3">
      <c r="A164" s="1">
        <v>42438</v>
      </c>
      <c r="B164" t="s">
        <v>9</v>
      </c>
      <c r="C164" s="2" t="str">
        <f t="shared" si="6"/>
        <v>Wednesday</v>
      </c>
      <c r="D164" s="2">
        <f t="shared" si="7"/>
        <v>11</v>
      </c>
      <c r="E164" s="2" t="str">
        <f t="shared" si="8"/>
        <v>March</v>
      </c>
    </row>
    <row r="165" spans="1:5" x14ac:dyDescent="0.3">
      <c r="A165" s="1">
        <v>42438</v>
      </c>
      <c r="B165" t="s">
        <v>7</v>
      </c>
      <c r="C165" s="2" t="str">
        <f t="shared" si="6"/>
        <v>Wednesday</v>
      </c>
      <c r="D165" s="2">
        <f t="shared" si="7"/>
        <v>11</v>
      </c>
      <c r="E165" s="2" t="str">
        <f t="shared" si="8"/>
        <v>March</v>
      </c>
    </row>
    <row r="166" spans="1:5" x14ac:dyDescent="0.3">
      <c r="A166" s="1">
        <v>42438</v>
      </c>
      <c r="B166" t="s">
        <v>7</v>
      </c>
      <c r="C166" s="2" t="str">
        <f t="shared" si="6"/>
        <v>Wednesday</v>
      </c>
      <c r="D166" s="2">
        <f t="shared" si="7"/>
        <v>11</v>
      </c>
      <c r="E166" s="2" t="str">
        <f t="shared" si="8"/>
        <v>March</v>
      </c>
    </row>
    <row r="167" spans="1:5" x14ac:dyDescent="0.3">
      <c r="A167" s="1">
        <v>42438</v>
      </c>
      <c r="B167" t="s">
        <v>7</v>
      </c>
      <c r="C167" s="2" t="str">
        <f t="shared" si="6"/>
        <v>Wednesday</v>
      </c>
      <c r="D167" s="2">
        <f t="shared" si="7"/>
        <v>11</v>
      </c>
      <c r="E167" s="2" t="str">
        <f t="shared" si="8"/>
        <v>March</v>
      </c>
    </row>
    <row r="168" spans="1:5" x14ac:dyDescent="0.3">
      <c r="A168" s="1">
        <v>42438</v>
      </c>
      <c r="B168" t="s">
        <v>8</v>
      </c>
      <c r="C168" s="2" t="str">
        <f t="shared" si="6"/>
        <v>Wednesday</v>
      </c>
      <c r="D168" s="2">
        <f t="shared" si="7"/>
        <v>11</v>
      </c>
      <c r="E168" s="2" t="str">
        <f t="shared" si="8"/>
        <v>March</v>
      </c>
    </row>
    <row r="169" spans="1:5" x14ac:dyDescent="0.3">
      <c r="A169" s="1">
        <v>42439</v>
      </c>
      <c r="B169" t="s">
        <v>2</v>
      </c>
      <c r="C169" s="2" t="str">
        <f t="shared" si="6"/>
        <v>Thursday</v>
      </c>
      <c r="D169" s="2">
        <f t="shared" si="7"/>
        <v>11</v>
      </c>
      <c r="E169" s="2" t="str">
        <f t="shared" si="8"/>
        <v>March</v>
      </c>
    </row>
    <row r="170" spans="1:5" x14ac:dyDescent="0.3">
      <c r="A170" s="1">
        <v>42439</v>
      </c>
      <c r="B170" t="s">
        <v>4</v>
      </c>
      <c r="C170" s="2" t="str">
        <f t="shared" si="6"/>
        <v>Thursday</v>
      </c>
      <c r="D170" s="2">
        <f t="shared" si="7"/>
        <v>11</v>
      </c>
      <c r="E170" s="2" t="str">
        <f t="shared" si="8"/>
        <v>March</v>
      </c>
    </row>
    <row r="171" spans="1:5" x14ac:dyDescent="0.3">
      <c r="A171" s="1">
        <v>42439</v>
      </c>
      <c r="B171" t="s">
        <v>9</v>
      </c>
      <c r="C171" s="2" t="str">
        <f t="shared" si="6"/>
        <v>Thursday</v>
      </c>
      <c r="D171" s="2">
        <f t="shared" si="7"/>
        <v>11</v>
      </c>
      <c r="E171" s="2" t="str">
        <f t="shared" si="8"/>
        <v>March</v>
      </c>
    </row>
    <row r="172" spans="1:5" x14ac:dyDescent="0.3">
      <c r="A172" s="1">
        <v>42440</v>
      </c>
      <c r="B172" t="s">
        <v>7</v>
      </c>
      <c r="C172" s="2" t="str">
        <f t="shared" si="6"/>
        <v>Friday</v>
      </c>
      <c r="D172" s="2">
        <f t="shared" si="7"/>
        <v>11</v>
      </c>
      <c r="E172" s="2" t="str">
        <f t="shared" si="8"/>
        <v>March</v>
      </c>
    </row>
    <row r="173" spans="1:5" x14ac:dyDescent="0.3">
      <c r="A173" s="1">
        <v>42440</v>
      </c>
      <c r="B173" t="s">
        <v>11</v>
      </c>
      <c r="C173" s="2" t="str">
        <f t="shared" si="6"/>
        <v>Friday</v>
      </c>
      <c r="D173" s="2">
        <f t="shared" si="7"/>
        <v>11</v>
      </c>
      <c r="E173" s="2" t="str">
        <f t="shared" si="8"/>
        <v>March</v>
      </c>
    </row>
    <row r="174" spans="1:5" x14ac:dyDescent="0.3">
      <c r="A174" s="1">
        <v>42440</v>
      </c>
      <c r="B174" t="s">
        <v>8</v>
      </c>
      <c r="C174" s="2" t="str">
        <f t="shared" si="6"/>
        <v>Friday</v>
      </c>
      <c r="D174" s="2">
        <f t="shared" si="7"/>
        <v>11</v>
      </c>
      <c r="E174" s="2" t="str">
        <f t="shared" si="8"/>
        <v>March</v>
      </c>
    </row>
    <row r="175" spans="1:5" x14ac:dyDescent="0.3">
      <c r="A175" s="1">
        <v>42440</v>
      </c>
      <c r="B175" t="s">
        <v>2</v>
      </c>
      <c r="C175" s="2" t="str">
        <f t="shared" si="6"/>
        <v>Friday</v>
      </c>
      <c r="D175" s="2">
        <f t="shared" si="7"/>
        <v>11</v>
      </c>
      <c r="E175" s="2" t="str">
        <f t="shared" si="8"/>
        <v>March</v>
      </c>
    </row>
    <row r="176" spans="1:5" x14ac:dyDescent="0.3">
      <c r="A176" s="1">
        <v>42440</v>
      </c>
      <c r="B176" t="s">
        <v>6</v>
      </c>
      <c r="C176" s="2" t="str">
        <f t="shared" si="6"/>
        <v>Friday</v>
      </c>
      <c r="D176" s="2">
        <f t="shared" si="7"/>
        <v>11</v>
      </c>
      <c r="E176" s="2" t="str">
        <f t="shared" si="8"/>
        <v>March</v>
      </c>
    </row>
    <row r="177" spans="1:5" x14ac:dyDescent="0.3">
      <c r="A177" s="1">
        <v>42440</v>
      </c>
      <c r="B177" t="s">
        <v>9</v>
      </c>
      <c r="C177" s="2" t="str">
        <f t="shared" si="6"/>
        <v>Friday</v>
      </c>
      <c r="D177" s="2">
        <f t="shared" si="7"/>
        <v>11</v>
      </c>
      <c r="E177" s="2" t="str">
        <f t="shared" si="8"/>
        <v>March</v>
      </c>
    </row>
    <row r="178" spans="1:5" x14ac:dyDescent="0.3">
      <c r="A178" s="1">
        <v>42443</v>
      </c>
      <c r="B178" t="s">
        <v>9</v>
      </c>
      <c r="C178" s="2" t="str">
        <f t="shared" si="6"/>
        <v>Monday</v>
      </c>
      <c r="D178" s="2">
        <f t="shared" si="7"/>
        <v>12</v>
      </c>
      <c r="E178" s="2" t="str">
        <f t="shared" si="8"/>
        <v>March</v>
      </c>
    </row>
    <row r="179" spans="1:5" x14ac:dyDescent="0.3">
      <c r="A179" s="1">
        <v>42443</v>
      </c>
      <c r="B179" t="s">
        <v>8</v>
      </c>
      <c r="C179" s="2" t="str">
        <f t="shared" si="6"/>
        <v>Monday</v>
      </c>
      <c r="D179" s="2">
        <f t="shared" si="7"/>
        <v>12</v>
      </c>
      <c r="E179" s="2" t="str">
        <f t="shared" si="8"/>
        <v>March</v>
      </c>
    </row>
    <row r="180" spans="1:5" x14ac:dyDescent="0.3">
      <c r="A180" s="1">
        <v>42443</v>
      </c>
      <c r="B180" t="s">
        <v>7</v>
      </c>
      <c r="C180" s="2" t="str">
        <f t="shared" si="6"/>
        <v>Monday</v>
      </c>
      <c r="D180" s="2">
        <f t="shared" si="7"/>
        <v>12</v>
      </c>
      <c r="E180" s="2" t="str">
        <f t="shared" si="8"/>
        <v>March</v>
      </c>
    </row>
    <row r="181" spans="1:5" x14ac:dyDescent="0.3">
      <c r="A181" s="1">
        <v>42444</v>
      </c>
      <c r="B181" t="s">
        <v>2</v>
      </c>
      <c r="C181" s="2" t="str">
        <f t="shared" si="6"/>
        <v>Tuesday</v>
      </c>
      <c r="D181" s="2">
        <f t="shared" si="7"/>
        <v>12</v>
      </c>
      <c r="E181" s="2" t="str">
        <f t="shared" si="8"/>
        <v>March</v>
      </c>
    </row>
    <row r="182" spans="1:5" x14ac:dyDescent="0.3">
      <c r="A182" s="1">
        <v>42444</v>
      </c>
      <c r="B182" t="s">
        <v>2</v>
      </c>
      <c r="C182" s="2" t="str">
        <f t="shared" si="6"/>
        <v>Tuesday</v>
      </c>
      <c r="D182" s="2">
        <f t="shared" si="7"/>
        <v>12</v>
      </c>
      <c r="E182" s="2" t="str">
        <f t="shared" si="8"/>
        <v>March</v>
      </c>
    </row>
    <row r="183" spans="1:5" x14ac:dyDescent="0.3">
      <c r="A183" s="1">
        <v>42445</v>
      </c>
      <c r="B183" t="s">
        <v>2</v>
      </c>
      <c r="C183" s="2" t="str">
        <f t="shared" si="6"/>
        <v>Wednesday</v>
      </c>
      <c r="D183" s="2">
        <f t="shared" si="7"/>
        <v>12</v>
      </c>
      <c r="E183" s="2" t="str">
        <f t="shared" si="8"/>
        <v>March</v>
      </c>
    </row>
    <row r="184" spans="1:5" x14ac:dyDescent="0.3">
      <c r="A184" s="1">
        <v>42445</v>
      </c>
      <c r="B184" t="s">
        <v>2</v>
      </c>
      <c r="C184" s="2" t="str">
        <f t="shared" si="6"/>
        <v>Wednesday</v>
      </c>
      <c r="D184" s="2">
        <f t="shared" si="7"/>
        <v>12</v>
      </c>
      <c r="E184" s="2" t="str">
        <f t="shared" si="8"/>
        <v>March</v>
      </c>
    </row>
    <row r="185" spans="1:5" x14ac:dyDescent="0.3">
      <c r="A185" s="1">
        <v>42445</v>
      </c>
      <c r="B185" t="s">
        <v>2</v>
      </c>
      <c r="C185" s="2" t="str">
        <f t="shared" si="6"/>
        <v>Wednesday</v>
      </c>
      <c r="D185" s="2">
        <f t="shared" si="7"/>
        <v>12</v>
      </c>
      <c r="E185" s="2" t="str">
        <f t="shared" si="8"/>
        <v>March</v>
      </c>
    </row>
    <row r="186" spans="1:5" x14ac:dyDescent="0.3">
      <c r="A186" s="1">
        <v>42445</v>
      </c>
      <c r="B186" t="s">
        <v>2</v>
      </c>
      <c r="C186" s="2" t="str">
        <f t="shared" si="6"/>
        <v>Wednesday</v>
      </c>
      <c r="D186" s="2">
        <f t="shared" si="7"/>
        <v>12</v>
      </c>
      <c r="E186" s="2" t="str">
        <f t="shared" si="8"/>
        <v>March</v>
      </c>
    </row>
    <row r="187" spans="1:5" x14ac:dyDescent="0.3">
      <c r="A187" s="1">
        <v>42445</v>
      </c>
      <c r="B187" t="s">
        <v>2</v>
      </c>
      <c r="C187" s="2" t="str">
        <f t="shared" si="6"/>
        <v>Wednesday</v>
      </c>
      <c r="D187" s="2">
        <f t="shared" si="7"/>
        <v>12</v>
      </c>
      <c r="E187" s="2" t="str">
        <f t="shared" si="8"/>
        <v>March</v>
      </c>
    </row>
    <row r="188" spans="1:5" x14ac:dyDescent="0.3">
      <c r="A188" s="1">
        <v>42445</v>
      </c>
      <c r="B188" t="s">
        <v>2</v>
      </c>
      <c r="C188" s="2" t="str">
        <f t="shared" si="6"/>
        <v>Wednesday</v>
      </c>
      <c r="D188" s="2">
        <f t="shared" si="7"/>
        <v>12</v>
      </c>
      <c r="E188" s="2" t="str">
        <f t="shared" si="8"/>
        <v>March</v>
      </c>
    </row>
    <row r="189" spans="1:5" x14ac:dyDescent="0.3">
      <c r="A189" s="1">
        <v>42445</v>
      </c>
      <c r="B189" t="s">
        <v>2</v>
      </c>
      <c r="C189" s="2" t="str">
        <f t="shared" si="6"/>
        <v>Wednesday</v>
      </c>
      <c r="D189" s="2">
        <f t="shared" si="7"/>
        <v>12</v>
      </c>
      <c r="E189" s="2" t="str">
        <f t="shared" si="8"/>
        <v>March</v>
      </c>
    </row>
    <row r="190" spans="1:5" x14ac:dyDescent="0.3">
      <c r="A190" s="1">
        <v>42446</v>
      </c>
      <c r="B190" t="s">
        <v>2</v>
      </c>
      <c r="C190" s="2" t="str">
        <f t="shared" si="6"/>
        <v>Thursday</v>
      </c>
      <c r="D190" s="2">
        <f t="shared" si="7"/>
        <v>12</v>
      </c>
      <c r="E190" s="2" t="str">
        <f t="shared" si="8"/>
        <v>March</v>
      </c>
    </row>
    <row r="191" spans="1:5" x14ac:dyDescent="0.3">
      <c r="A191" s="1">
        <v>42446</v>
      </c>
      <c r="B191" t="s">
        <v>8</v>
      </c>
      <c r="C191" s="2" t="str">
        <f t="shared" si="6"/>
        <v>Thursday</v>
      </c>
      <c r="D191" s="2">
        <f t="shared" si="7"/>
        <v>12</v>
      </c>
      <c r="E191" s="2" t="str">
        <f t="shared" si="8"/>
        <v>March</v>
      </c>
    </row>
    <row r="192" spans="1:5" x14ac:dyDescent="0.3">
      <c r="A192" s="1">
        <v>42446</v>
      </c>
      <c r="B192" t="s">
        <v>7</v>
      </c>
      <c r="C192" s="2" t="str">
        <f t="shared" si="6"/>
        <v>Thursday</v>
      </c>
      <c r="D192" s="2">
        <f t="shared" si="7"/>
        <v>12</v>
      </c>
      <c r="E192" s="2" t="str">
        <f t="shared" si="8"/>
        <v>March</v>
      </c>
    </row>
    <row r="193" spans="1:5" x14ac:dyDescent="0.3">
      <c r="A193" s="1">
        <v>42446</v>
      </c>
      <c r="B193" t="s">
        <v>9</v>
      </c>
      <c r="C193" s="2" t="str">
        <f t="shared" si="6"/>
        <v>Thursday</v>
      </c>
      <c r="D193" s="2">
        <f t="shared" si="7"/>
        <v>12</v>
      </c>
      <c r="E193" s="2" t="str">
        <f t="shared" si="8"/>
        <v>March</v>
      </c>
    </row>
    <row r="194" spans="1:5" x14ac:dyDescent="0.3">
      <c r="A194" s="1">
        <v>42446</v>
      </c>
      <c r="B194" t="s">
        <v>8</v>
      </c>
      <c r="C194" s="2" t="str">
        <f t="shared" ref="C194:C257" si="9">TEXT(A194,"dddd")</f>
        <v>Thursday</v>
      </c>
      <c r="D194" s="2">
        <f t="shared" ref="D194:D257" si="10">WEEKNUM(A194,1)</f>
        <v>12</v>
      </c>
      <c r="E194" s="2" t="str">
        <f t="shared" ref="E194:E257" si="11">TEXT(A194,"mmmm")</f>
        <v>March</v>
      </c>
    </row>
    <row r="195" spans="1:5" x14ac:dyDescent="0.3">
      <c r="A195" s="1">
        <v>42446</v>
      </c>
      <c r="B195" t="s">
        <v>5</v>
      </c>
      <c r="C195" s="2" t="str">
        <f t="shared" si="9"/>
        <v>Thursday</v>
      </c>
      <c r="D195" s="2">
        <f t="shared" si="10"/>
        <v>12</v>
      </c>
      <c r="E195" s="2" t="str">
        <f t="shared" si="11"/>
        <v>March</v>
      </c>
    </row>
    <row r="196" spans="1:5" x14ac:dyDescent="0.3">
      <c r="A196" s="1">
        <v>42446</v>
      </c>
      <c r="B196" t="s">
        <v>10</v>
      </c>
      <c r="C196" s="2" t="str">
        <f t="shared" si="9"/>
        <v>Thursday</v>
      </c>
      <c r="D196" s="2">
        <f t="shared" si="10"/>
        <v>12</v>
      </c>
      <c r="E196" s="2" t="str">
        <f t="shared" si="11"/>
        <v>March</v>
      </c>
    </row>
    <row r="197" spans="1:5" x14ac:dyDescent="0.3">
      <c r="A197" s="1">
        <v>42446</v>
      </c>
      <c r="B197" t="s">
        <v>7</v>
      </c>
      <c r="C197" s="2" t="str">
        <f t="shared" si="9"/>
        <v>Thursday</v>
      </c>
      <c r="D197" s="2">
        <f t="shared" si="10"/>
        <v>12</v>
      </c>
      <c r="E197" s="2" t="str">
        <f t="shared" si="11"/>
        <v>March</v>
      </c>
    </row>
    <row r="198" spans="1:5" x14ac:dyDescent="0.3">
      <c r="A198" s="1">
        <v>42446</v>
      </c>
      <c r="B198" t="s">
        <v>8</v>
      </c>
      <c r="C198" s="2" t="str">
        <f t="shared" si="9"/>
        <v>Thursday</v>
      </c>
      <c r="D198" s="2">
        <f t="shared" si="10"/>
        <v>12</v>
      </c>
      <c r="E198" s="2" t="str">
        <f t="shared" si="11"/>
        <v>March</v>
      </c>
    </row>
    <row r="199" spans="1:5" x14ac:dyDescent="0.3">
      <c r="A199" s="1">
        <v>42446</v>
      </c>
      <c r="B199" t="s">
        <v>9</v>
      </c>
      <c r="C199" s="2" t="str">
        <f t="shared" si="9"/>
        <v>Thursday</v>
      </c>
      <c r="D199" s="2">
        <f t="shared" si="10"/>
        <v>12</v>
      </c>
      <c r="E199" s="2" t="str">
        <f t="shared" si="11"/>
        <v>March</v>
      </c>
    </row>
    <row r="200" spans="1:5" x14ac:dyDescent="0.3">
      <c r="A200" s="1">
        <v>42447</v>
      </c>
      <c r="B200" t="s">
        <v>7</v>
      </c>
      <c r="C200" s="2" t="str">
        <f t="shared" si="9"/>
        <v>Friday</v>
      </c>
      <c r="D200" s="2">
        <f t="shared" si="10"/>
        <v>12</v>
      </c>
      <c r="E200" s="2" t="str">
        <f t="shared" si="11"/>
        <v>March</v>
      </c>
    </row>
    <row r="201" spans="1:5" x14ac:dyDescent="0.3">
      <c r="A201" s="1">
        <v>42447</v>
      </c>
      <c r="B201" t="s">
        <v>5</v>
      </c>
      <c r="C201" s="2" t="str">
        <f t="shared" si="9"/>
        <v>Friday</v>
      </c>
      <c r="D201" s="2">
        <f t="shared" si="10"/>
        <v>12</v>
      </c>
      <c r="E201" s="2" t="str">
        <f t="shared" si="11"/>
        <v>March</v>
      </c>
    </row>
    <row r="202" spans="1:5" x14ac:dyDescent="0.3">
      <c r="A202" s="1">
        <v>42447</v>
      </c>
      <c r="B202" t="s">
        <v>6</v>
      </c>
      <c r="C202" s="2" t="str">
        <f t="shared" si="9"/>
        <v>Friday</v>
      </c>
      <c r="D202" s="2">
        <f t="shared" si="10"/>
        <v>12</v>
      </c>
      <c r="E202" s="2" t="str">
        <f t="shared" si="11"/>
        <v>March</v>
      </c>
    </row>
    <row r="203" spans="1:5" x14ac:dyDescent="0.3">
      <c r="A203" s="1">
        <v>42447</v>
      </c>
      <c r="B203" t="s">
        <v>8</v>
      </c>
      <c r="C203" s="2" t="str">
        <f t="shared" si="9"/>
        <v>Friday</v>
      </c>
      <c r="D203" s="2">
        <f t="shared" si="10"/>
        <v>12</v>
      </c>
      <c r="E203" s="2" t="str">
        <f t="shared" si="11"/>
        <v>March</v>
      </c>
    </row>
    <row r="204" spans="1:5" x14ac:dyDescent="0.3">
      <c r="A204" s="1">
        <v>42450</v>
      </c>
      <c r="B204" t="s">
        <v>8</v>
      </c>
      <c r="C204" s="2" t="str">
        <f t="shared" si="9"/>
        <v>Monday</v>
      </c>
      <c r="D204" s="2">
        <f t="shared" si="10"/>
        <v>13</v>
      </c>
      <c r="E204" s="2" t="str">
        <f t="shared" si="11"/>
        <v>March</v>
      </c>
    </row>
    <row r="205" spans="1:5" x14ac:dyDescent="0.3">
      <c r="A205" s="1">
        <v>42450</v>
      </c>
      <c r="B205" t="s">
        <v>9</v>
      </c>
      <c r="C205" s="2" t="str">
        <f t="shared" si="9"/>
        <v>Monday</v>
      </c>
      <c r="D205" s="2">
        <f t="shared" si="10"/>
        <v>13</v>
      </c>
      <c r="E205" s="2" t="str">
        <f t="shared" si="11"/>
        <v>March</v>
      </c>
    </row>
    <row r="206" spans="1:5" x14ac:dyDescent="0.3">
      <c r="A206" s="1">
        <v>42450</v>
      </c>
      <c r="B206" t="s">
        <v>9</v>
      </c>
      <c r="C206" s="2" t="str">
        <f t="shared" si="9"/>
        <v>Monday</v>
      </c>
      <c r="D206" s="2">
        <f t="shared" si="10"/>
        <v>13</v>
      </c>
      <c r="E206" s="2" t="str">
        <f t="shared" si="11"/>
        <v>March</v>
      </c>
    </row>
    <row r="207" spans="1:5" x14ac:dyDescent="0.3">
      <c r="A207" s="1">
        <v>42450</v>
      </c>
      <c r="B207" t="s">
        <v>8</v>
      </c>
      <c r="C207" s="2" t="str">
        <f t="shared" si="9"/>
        <v>Monday</v>
      </c>
      <c r="D207" s="2">
        <f t="shared" si="10"/>
        <v>13</v>
      </c>
      <c r="E207" s="2" t="str">
        <f t="shared" si="11"/>
        <v>March</v>
      </c>
    </row>
    <row r="208" spans="1:5" x14ac:dyDescent="0.3">
      <c r="A208" s="1">
        <v>42450</v>
      </c>
      <c r="B208" t="s">
        <v>7</v>
      </c>
      <c r="C208" s="2" t="str">
        <f t="shared" si="9"/>
        <v>Monday</v>
      </c>
      <c r="D208" s="2">
        <f t="shared" si="10"/>
        <v>13</v>
      </c>
      <c r="E208" s="2" t="str">
        <f t="shared" si="11"/>
        <v>March</v>
      </c>
    </row>
    <row r="209" spans="1:5" x14ac:dyDescent="0.3">
      <c r="A209" s="1">
        <v>42450</v>
      </c>
      <c r="B209" t="s">
        <v>7</v>
      </c>
      <c r="C209" s="2" t="str">
        <f t="shared" si="9"/>
        <v>Monday</v>
      </c>
      <c r="D209" s="2">
        <f t="shared" si="10"/>
        <v>13</v>
      </c>
      <c r="E209" s="2" t="str">
        <f t="shared" si="11"/>
        <v>March</v>
      </c>
    </row>
    <row r="210" spans="1:5" x14ac:dyDescent="0.3">
      <c r="A210" s="1">
        <v>42450</v>
      </c>
      <c r="B210" t="s">
        <v>7</v>
      </c>
      <c r="C210" s="2" t="str">
        <f t="shared" si="9"/>
        <v>Monday</v>
      </c>
      <c r="D210" s="2">
        <f t="shared" si="10"/>
        <v>13</v>
      </c>
      <c r="E210" s="2" t="str">
        <f t="shared" si="11"/>
        <v>March</v>
      </c>
    </row>
    <row r="211" spans="1:5" x14ac:dyDescent="0.3">
      <c r="A211" s="1">
        <v>42451</v>
      </c>
      <c r="B211" t="s">
        <v>2</v>
      </c>
      <c r="C211" s="2" t="str">
        <f t="shared" si="9"/>
        <v>Tuesday</v>
      </c>
      <c r="D211" s="2">
        <f t="shared" si="10"/>
        <v>13</v>
      </c>
      <c r="E211" s="2" t="str">
        <f t="shared" si="11"/>
        <v>March</v>
      </c>
    </row>
    <row r="212" spans="1:5" x14ac:dyDescent="0.3">
      <c r="A212" s="1">
        <v>42451</v>
      </c>
      <c r="B212" t="s">
        <v>2</v>
      </c>
      <c r="C212" s="2" t="str">
        <f t="shared" si="9"/>
        <v>Tuesday</v>
      </c>
      <c r="D212" s="2">
        <f t="shared" si="10"/>
        <v>13</v>
      </c>
      <c r="E212" s="2" t="str">
        <f t="shared" si="11"/>
        <v>March</v>
      </c>
    </row>
    <row r="213" spans="1:5" x14ac:dyDescent="0.3">
      <c r="A213" s="1">
        <v>42451</v>
      </c>
      <c r="B213" t="s">
        <v>2</v>
      </c>
      <c r="C213" s="2" t="str">
        <f t="shared" si="9"/>
        <v>Tuesday</v>
      </c>
      <c r="D213" s="2">
        <f t="shared" si="10"/>
        <v>13</v>
      </c>
      <c r="E213" s="2" t="str">
        <f t="shared" si="11"/>
        <v>March</v>
      </c>
    </row>
    <row r="214" spans="1:5" x14ac:dyDescent="0.3">
      <c r="A214" s="1">
        <v>42451</v>
      </c>
      <c r="B214" t="s">
        <v>8</v>
      </c>
      <c r="C214" s="2" t="str">
        <f t="shared" si="9"/>
        <v>Tuesday</v>
      </c>
      <c r="D214" s="2">
        <f t="shared" si="10"/>
        <v>13</v>
      </c>
      <c r="E214" s="2" t="str">
        <f t="shared" si="11"/>
        <v>March</v>
      </c>
    </row>
    <row r="215" spans="1:5" x14ac:dyDescent="0.3">
      <c r="A215" s="1">
        <v>42451</v>
      </c>
      <c r="B215" t="s">
        <v>7</v>
      </c>
      <c r="C215" s="2" t="str">
        <f t="shared" si="9"/>
        <v>Tuesday</v>
      </c>
      <c r="D215" s="2">
        <f t="shared" si="10"/>
        <v>13</v>
      </c>
      <c r="E215" s="2" t="str">
        <f t="shared" si="11"/>
        <v>March</v>
      </c>
    </row>
    <row r="216" spans="1:5" x14ac:dyDescent="0.3">
      <c r="A216" s="1">
        <v>42451</v>
      </c>
      <c r="B216" t="s">
        <v>4</v>
      </c>
      <c r="C216" s="2" t="str">
        <f t="shared" si="9"/>
        <v>Tuesday</v>
      </c>
      <c r="D216" s="2">
        <f t="shared" si="10"/>
        <v>13</v>
      </c>
      <c r="E216" s="2" t="str">
        <f t="shared" si="11"/>
        <v>March</v>
      </c>
    </row>
    <row r="217" spans="1:5" x14ac:dyDescent="0.3">
      <c r="A217" s="1">
        <v>42452</v>
      </c>
      <c r="B217" t="s">
        <v>6</v>
      </c>
      <c r="C217" s="2" t="str">
        <f t="shared" si="9"/>
        <v>Wednesday</v>
      </c>
      <c r="D217" s="2">
        <f t="shared" si="10"/>
        <v>13</v>
      </c>
      <c r="E217" s="2" t="str">
        <f t="shared" si="11"/>
        <v>March</v>
      </c>
    </row>
    <row r="218" spans="1:5" x14ac:dyDescent="0.3">
      <c r="A218" s="1">
        <v>42452</v>
      </c>
      <c r="B218" t="s">
        <v>9</v>
      </c>
      <c r="C218" s="2" t="str">
        <f t="shared" si="9"/>
        <v>Wednesday</v>
      </c>
      <c r="D218" s="2">
        <f t="shared" si="10"/>
        <v>13</v>
      </c>
      <c r="E218" s="2" t="str">
        <f t="shared" si="11"/>
        <v>March</v>
      </c>
    </row>
    <row r="219" spans="1:5" x14ac:dyDescent="0.3">
      <c r="A219" s="1">
        <v>42454</v>
      </c>
      <c r="B219" t="s">
        <v>2</v>
      </c>
      <c r="C219" s="2" t="str">
        <f t="shared" si="9"/>
        <v>Friday</v>
      </c>
      <c r="D219" s="2">
        <f t="shared" si="10"/>
        <v>13</v>
      </c>
      <c r="E219" s="2" t="str">
        <f t="shared" si="11"/>
        <v>March</v>
      </c>
    </row>
    <row r="220" spans="1:5" x14ac:dyDescent="0.3">
      <c r="A220" s="1">
        <v>42454</v>
      </c>
      <c r="B220" t="s">
        <v>2</v>
      </c>
      <c r="C220" s="2" t="str">
        <f t="shared" si="9"/>
        <v>Friday</v>
      </c>
      <c r="D220" s="2">
        <f t="shared" si="10"/>
        <v>13</v>
      </c>
      <c r="E220" s="2" t="str">
        <f t="shared" si="11"/>
        <v>March</v>
      </c>
    </row>
    <row r="221" spans="1:5" x14ac:dyDescent="0.3">
      <c r="A221" s="1">
        <v>42454</v>
      </c>
      <c r="B221" t="s">
        <v>12</v>
      </c>
      <c r="C221" s="2" t="str">
        <f t="shared" si="9"/>
        <v>Friday</v>
      </c>
      <c r="D221" s="2">
        <f t="shared" si="10"/>
        <v>13</v>
      </c>
      <c r="E221" s="2" t="str">
        <f t="shared" si="11"/>
        <v>March</v>
      </c>
    </row>
    <row r="222" spans="1:5" x14ac:dyDescent="0.3">
      <c r="A222" s="1">
        <v>42454</v>
      </c>
      <c r="B222" t="s">
        <v>5</v>
      </c>
      <c r="C222" s="2" t="str">
        <f t="shared" si="9"/>
        <v>Friday</v>
      </c>
      <c r="D222" s="2">
        <f t="shared" si="10"/>
        <v>13</v>
      </c>
      <c r="E222" s="2" t="str">
        <f t="shared" si="11"/>
        <v>March</v>
      </c>
    </row>
    <row r="223" spans="1:5" x14ac:dyDescent="0.3">
      <c r="A223" s="1">
        <v>42454</v>
      </c>
      <c r="B223" t="s">
        <v>8</v>
      </c>
      <c r="C223" s="2" t="str">
        <f t="shared" si="9"/>
        <v>Friday</v>
      </c>
      <c r="D223" s="2">
        <f t="shared" si="10"/>
        <v>13</v>
      </c>
      <c r="E223" s="2" t="str">
        <f t="shared" si="11"/>
        <v>March</v>
      </c>
    </row>
    <row r="224" spans="1:5" x14ac:dyDescent="0.3">
      <c r="A224" s="1">
        <v>42454</v>
      </c>
      <c r="B224" t="s">
        <v>7</v>
      </c>
      <c r="C224" s="2" t="str">
        <f t="shared" si="9"/>
        <v>Friday</v>
      </c>
      <c r="D224" s="2">
        <f t="shared" si="10"/>
        <v>13</v>
      </c>
      <c r="E224" s="2" t="str">
        <f t="shared" si="11"/>
        <v>March</v>
      </c>
    </row>
    <row r="225" spans="1:5" x14ac:dyDescent="0.3">
      <c r="A225" s="1">
        <v>42454</v>
      </c>
      <c r="B225" t="s">
        <v>7</v>
      </c>
      <c r="C225" s="2" t="str">
        <f t="shared" si="9"/>
        <v>Friday</v>
      </c>
      <c r="D225" s="2">
        <f t="shared" si="10"/>
        <v>13</v>
      </c>
      <c r="E225" s="2" t="str">
        <f t="shared" si="11"/>
        <v>March</v>
      </c>
    </row>
    <row r="226" spans="1:5" x14ac:dyDescent="0.3">
      <c r="A226" s="1">
        <v>42454</v>
      </c>
      <c r="B226" t="s">
        <v>8</v>
      </c>
      <c r="C226" s="2" t="str">
        <f t="shared" si="9"/>
        <v>Friday</v>
      </c>
      <c r="D226" s="2">
        <f t="shared" si="10"/>
        <v>13</v>
      </c>
      <c r="E226" s="2" t="str">
        <f t="shared" si="11"/>
        <v>March</v>
      </c>
    </row>
    <row r="227" spans="1:5" x14ac:dyDescent="0.3">
      <c r="A227" s="1">
        <v>42454</v>
      </c>
      <c r="B227" t="s">
        <v>9</v>
      </c>
      <c r="C227" s="2" t="str">
        <f t="shared" si="9"/>
        <v>Friday</v>
      </c>
      <c r="D227" s="2">
        <f t="shared" si="10"/>
        <v>13</v>
      </c>
      <c r="E227" s="2" t="str">
        <f t="shared" si="11"/>
        <v>March</v>
      </c>
    </row>
    <row r="228" spans="1:5" x14ac:dyDescent="0.3">
      <c r="A228" s="1">
        <v>42454</v>
      </c>
      <c r="B228" t="s">
        <v>8</v>
      </c>
      <c r="C228" s="2" t="str">
        <f t="shared" si="9"/>
        <v>Friday</v>
      </c>
      <c r="D228" s="2">
        <f t="shared" si="10"/>
        <v>13</v>
      </c>
      <c r="E228" s="2" t="str">
        <f t="shared" si="11"/>
        <v>March</v>
      </c>
    </row>
    <row r="229" spans="1:5" x14ac:dyDescent="0.3">
      <c r="A229" s="1">
        <v>42457</v>
      </c>
      <c r="B229" t="s">
        <v>6</v>
      </c>
      <c r="C229" s="2" t="str">
        <f t="shared" si="9"/>
        <v>Monday</v>
      </c>
      <c r="D229" s="2">
        <f t="shared" si="10"/>
        <v>14</v>
      </c>
      <c r="E229" s="2" t="str">
        <f t="shared" si="11"/>
        <v>March</v>
      </c>
    </row>
    <row r="230" spans="1:5" x14ac:dyDescent="0.3">
      <c r="A230" s="1">
        <v>42457</v>
      </c>
      <c r="B230" t="s">
        <v>2</v>
      </c>
      <c r="C230" s="2" t="str">
        <f t="shared" si="9"/>
        <v>Monday</v>
      </c>
      <c r="D230" s="2">
        <f t="shared" si="10"/>
        <v>14</v>
      </c>
      <c r="E230" s="2" t="str">
        <f t="shared" si="11"/>
        <v>March</v>
      </c>
    </row>
    <row r="231" spans="1:5" x14ac:dyDescent="0.3">
      <c r="A231" s="1">
        <v>42457</v>
      </c>
      <c r="B231" t="s">
        <v>2</v>
      </c>
      <c r="C231" s="2" t="str">
        <f t="shared" si="9"/>
        <v>Monday</v>
      </c>
      <c r="D231" s="2">
        <f t="shared" si="10"/>
        <v>14</v>
      </c>
      <c r="E231" s="2" t="str">
        <f t="shared" si="11"/>
        <v>March</v>
      </c>
    </row>
    <row r="232" spans="1:5" x14ac:dyDescent="0.3">
      <c r="A232" s="1">
        <v>42457</v>
      </c>
      <c r="B232" t="s">
        <v>7</v>
      </c>
      <c r="C232" s="2" t="str">
        <f t="shared" si="9"/>
        <v>Monday</v>
      </c>
      <c r="D232" s="2">
        <f t="shared" si="10"/>
        <v>14</v>
      </c>
      <c r="E232" s="2" t="str">
        <f t="shared" si="11"/>
        <v>March</v>
      </c>
    </row>
    <row r="233" spans="1:5" x14ac:dyDescent="0.3">
      <c r="A233" s="1">
        <v>42457</v>
      </c>
      <c r="B233" t="s">
        <v>7</v>
      </c>
      <c r="C233" s="2" t="str">
        <f t="shared" si="9"/>
        <v>Monday</v>
      </c>
      <c r="D233" s="2">
        <f t="shared" si="10"/>
        <v>14</v>
      </c>
      <c r="E233" s="2" t="str">
        <f t="shared" si="11"/>
        <v>March</v>
      </c>
    </row>
    <row r="234" spans="1:5" x14ac:dyDescent="0.3">
      <c r="A234" s="1">
        <v>42457</v>
      </c>
      <c r="B234" t="s">
        <v>15</v>
      </c>
      <c r="C234" s="2" t="str">
        <f t="shared" si="9"/>
        <v>Monday</v>
      </c>
      <c r="D234" s="2">
        <f t="shared" si="10"/>
        <v>14</v>
      </c>
      <c r="E234" s="2" t="str">
        <f t="shared" si="11"/>
        <v>March</v>
      </c>
    </row>
    <row r="235" spans="1:5" x14ac:dyDescent="0.3">
      <c r="A235" s="1">
        <v>42457</v>
      </c>
      <c r="B235" t="s">
        <v>9</v>
      </c>
      <c r="C235" s="2" t="str">
        <f t="shared" si="9"/>
        <v>Monday</v>
      </c>
      <c r="D235" s="2">
        <f t="shared" si="10"/>
        <v>14</v>
      </c>
      <c r="E235" s="2" t="str">
        <f t="shared" si="11"/>
        <v>March</v>
      </c>
    </row>
    <row r="236" spans="1:5" x14ac:dyDescent="0.3">
      <c r="A236" s="1">
        <v>42457</v>
      </c>
      <c r="B236" t="s">
        <v>2</v>
      </c>
      <c r="C236" s="2" t="str">
        <f t="shared" si="9"/>
        <v>Monday</v>
      </c>
      <c r="D236" s="2">
        <f t="shared" si="10"/>
        <v>14</v>
      </c>
      <c r="E236" s="2" t="str">
        <f t="shared" si="11"/>
        <v>March</v>
      </c>
    </row>
    <row r="237" spans="1:5" x14ac:dyDescent="0.3">
      <c r="A237" s="1">
        <v>42458</v>
      </c>
      <c r="B237" t="s">
        <v>5</v>
      </c>
      <c r="C237" s="2" t="str">
        <f t="shared" si="9"/>
        <v>Tuesday</v>
      </c>
      <c r="D237" s="2">
        <f t="shared" si="10"/>
        <v>14</v>
      </c>
      <c r="E237" s="2" t="str">
        <f t="shared" si="11"/>
        <v>March</v>
      </c>
    </row>
    <row r="238" spans="1:5" x14ac:dyDescent="0.3">
      <c r="A238" s="1">
        <v>42458</v>
      </c>
      <c r="B238" t="s">
        <v>8</v>
      </c>
      <c r="C238" s="2" t="str">
        <f t="shared" si="9"/>
        <v>Tuesday</v>
      </c>
      <c r="D238" s="2">
        <f t="shared" si="10"/>
        <v>14</v>
      </c>
      <c r="E238" s="2" t="str">
        <f t="shared" si="11"/>
        <v>March</v>
      </c>
    </row>
    <row r="239" spans="1:5" x14ac:dyDescent="0.3">
      <c r="A239" s="1">
        <v>42458</v>
      </c>
      <c r="B239" t="s">
        <v>7</v>
      </c>
      <c r="C239" s="2" t="str">
        <f t="shared" si="9"/>
        <v>Tuesday</v>
      </c>
      <c r="D239" s="2">
        <f t="shared" si="10"/>
        <v>14</v>
      </c>
      <c r="E239" s="2" t="str">
        <f t="shared" si="11"/>
        <v>March</v>
      </c>
    </row>
    <row r="240" spans="1:5" x14ac:dyDescent="0.3">
      <c r="A240" s="1">
        <v>42458</v>
      </c>
      <c r="B240" t="s">
        <v>9</v>
      </c>
      <c r="C240" s="2" t="str">
        <f t="shared" si="9"/>
        <v>Tuesday</v>
      </c>
      <c r="D240" s="2">
        <f t="shared" si="10"/>
        <v>14</v>
      </c>
      <c r="E240" s="2" t="str">
        <f t="shared" si="11"/>
        <v>March</v>
      </c>
    </row>
    <row r="241" spans="1:5" x14ac:dyDescent="0.3">
      <c r="A241" s="1">
        <v>42458</v>
      </c>
      <c r="B241" t="s">
        <v>6</v>
      </c>
      <c r="C241" s="2" t="str">
        <f t="shared" si="9"/>
        <v>Tuesday</v>
      </c>
      <c r="D241" s="2">
        <f t="shared" si="10"/>
        <v>14</v>
      </c>
      <c r="E241" s="2" t="str">
        <f t="shared" si="11"/>
        <v>March</v>
      </c>
    </row>
    <row r="242" spans="1:5" x14ac:dyDescent="0.3">
      <c r="A242" s="1">
        <v>42458</v>
      </c>
      <c r="B242" t="s">
        <v>8</v>
      </c>
      <c r="C242" s="2" t="str">
        <f t="shared" si="9"/>
        <v>Tuesday</v>
      </c>
      <c r="D242" s="2">
        <f t="shared" si="10"/>
        <v>14</v>
      </c>
      <c r="E242" s="2" t="str">
        <f t="shared" si="11"/>
        <v>March</v>
      </c>
    </row>
    <row r="243" spans="1:5" x14ac:dyDescent="0.3">
      <c r="A243" s="1">
        <v>42458</v>
      </c>
      <c r="B243" t="s">
        <v>8</v>
      </c>
      <c r="C243" s="2" t="str">
        <f t="shared" si="9"/>
        <v>Tuesday</v>
      </c>
      <c r="D243" s="2">
        <f t="shared" si="10"/>
        <v>14</v>
      </c>
      <c r="E243" s="2" t="str">
        <f t="shared" si="11"/>
        <v>March</v>
      </c>
    </row>
    <row r="244" spans="1:5" x14ac:dyDescent="0.3">
      <c r="A244" s="1">
        <v>42458</v>
      </c>
      <c r="B244" t="s">
        <v>2</v>
      </c>
      <c r="C244" s="2" t="str">
        <f t="shared" si="9"/>
        <v>Tuesday</v>
      </c>
      <c r="D244" s="2">
        <f t="shared" si="10"/>
        <v>14</v>
      </c>
      <c r="E244" s="2" t="str">
        <f t="shared" si="11"/>
        <v>March</v>
      </c>
    </row>
    <row r="245" spans="1:5" x14ac:dyDescent="0.3">
      <c r="A245" s="1">
        <v>42458</v>
      </c>
      <c r="B245" t="s">
        <v>8</v>
      </c>
      <c r="C245" s="2" t="str">
        <f t="shared" si="9"/>
        <v>Tuesday</v>
      </c>
      <c r="D245" s="2">
        <f t="shared" si="10"/>
        <v>14</v>
      </c>
      <c r="E245" s="2" t="str">
        <f t="shared" si="11"/>
        <v>March</v>
      </c>
    </row>
    <row r="246" spans="1:5" x14ac:dyDescent="0.3">
      <c r="A246" s="1">
        <v>42458</v>
      </c>
      <c r="B246" t="s">
        <v>9</v>
      </c>
      <c r="C246" s="2" t="str">
        <f t="shared" si="9"/>
        <v>Tuesday</v>
      </c>
      <c r="D246" s="2">
        <f t="shared" si="10"/>
        <v>14</v>
      </c>
      <c r="E246" s="2" t="str">
        <f t="shared" si="11"/>
        <v>March</v>
      </c>
    </row>
    <row r="247" spans="1:5" x14ac:dyDescent="0.3">
      <c r="A247" s="1">
        <v>42459</v>
      </c>
      <c r="B247" t="s">
        <v>8</v>
      </c>
      <c r="C247" s="2" t="str">
        <f t="shared" si="9"/>
        <v>Wednesday</v>
      </c>
      <c r="D247" s="2">
        <f t="shared" si="10"/>
        <v>14</v>
      </c>
      <c r="E247" s="2" t="str">
        <f t="shared" si="11"/>
        <v>March</v>
      </c>
    </row>
    <row r="248" spans="1:5" x14ac:dyDescent="0.3">
      <c r="A248" s="1">
        <v>42459</v>
      </c>
      <c r="B248" t="s">
        <v>8</v>
      </c>
      <c r="C248" s="2" t="str">
        <f t="shared" si="9"/>
        <v>Wednesday</v>
      </c>
      <c r="D248" s="2">
        <f t="shared" si="10"/>
        <v>14</v>
      </c>
      <c r="E248" s="2" t="str">
        <f t="shared" si="11"/>
        <v>March</v>
      </c>
    </row>
    <row r="249" spans="1:5" x14ac:dyDescent="0.3">
      <c r="A249" s="1">
        <v>42459</v>
      </c>
      <c r="B249" t="s">
        <v>2</v>
      </c>
      <c r="C249" s="2" t="str">
        <f t="shared" si="9"/>
        <v>Wednesday</v>
      </c>
      <c r="D249" s="2">
        <f t="shared" si="10"/>
        <v>14</v>
      </c>
      <c r="E249" s="2" t="str">
        <f t="shared" si="11"/>
        <v>March</v>
      </c>
    </row>
    <row r="250" spans="1:5" x14ac:dyDescent="0.3">
      <c r="A250" s="1">
        <v>42459</v>
      </c>
      <c r="B250" t="s">
        <v>8</v>
      </c>
      <c r="C250" s="2" t="str">
        <f t="shared" si="9"/>
        <v>Wednesday</v>
      </c>
      <c r="D250" s="2">
        <f t="shared" si="10"/>
        <v>14</v>
      </c>
      <c r="E250" s="2" t="str">
        <f t="shared" si="11"/>
        <v>March</v>
      </c>
    </row>
    <row r="251" spans="1:5" x14ac:dyDescent="0.3">
      <c r="A251" s="1">
        <v>42459</v>
      </c>
      <c r="B251" t="s">
        <v>8</v>
      </c>
      <c r="C251" s="2" t="str">
        <f t="shared" si="9"/>
        <v>Wednesday</v>
      </c>
      <c r="D251" s="2">
        <f t="shared" si="10"/>
        <v>14</v>
      </c>
      <c r="E251" s="2" t="str">
        <f t="shared" si="11"/>
        <v>March</v>
      </c>
    </row>
    <row r="252" spans="1:5" x14ac:dyDescent="0.3">
      <c r="A252" s="1">
        <v>42459</v>
      </c>
      <c r="B252" t="s">
        <v>9</v>
      </c>
      <c r="C252" s="2" t="str">
        <f t="shared" si="9"/>
        <v>Wednesday</v>
      </c>
      <c r="D252" s="2">
        <f t="shared" si="10"/>
        <v>14</v>
      </c>
      <c r="E252" s="2" t="str">
        <f t="shared" si="11"/>
        <v>March</v>
      </c>
    </row>
    <row r="253" spans="1:5" x14ac:dyDescent="0.3">
      <c r="A253" s="1">
        <v>42459</v>
      </c>
      <c r="B253" t="s">
        <v>9</v>
      </c>
      <c r="C253" s="2" t="str">
        <f t="shared" si="9"/>
        <v>Wednesday</v>
      </c>
      <c r="D253" s="2">
        <f t="shared" si="10"/>
        <v>14</v>
      </c>
      <c r="E253" s="2" t="str">
        <f t="shared" si="11"/>
        <v>March</v>
      </c>
    </row>
    <row r="254" spans="1:5" x14ac:dyDescent="0.3">
      <c r="A254" s="1">
        <v>42459</v>
      </c>
      <c r="B254" t="s">
        <v>2</v>
      </c>
      <c r="C254" s="2" t="str">
        <f t="shared" si="9"/>
        <v>Wednesday</v>
      </c>
      <c r="D254" s="2">
        <f t="shared" si="10"/>
        <v>14</v>
      </c>
      <c r="E254" s="2" t="str">
        <f t="shared" si="11"/>
        <v>March</v>
      </c>
    </row>
    <row r="255" spans="1:5" x14ac:dyDescent="0.3">
      <c r="A255" s="1">
        <v>42460</v>
      </c>
      <c r="B255" t="s">
        <v>2</v>
      </c>
      <c r="C255" s="2" t="str">
        <f t="shared" si="9"/>
        <v>Thursday</v>
      </c>
      <c r="D255" s="2">
        <f t="shared" si="10"/>
        <v>14</v>
      </c>
      <c r="E255" s="2" t="str">
        <f t="shared" si="11"/>
        <v>March</v>
      </c>
    </row>
    <row r="256" spans="1:5" x14ac:dyDescent="0.3">
      <c r="A256" s="1">
        <v>42460</v>
      </c>
      <c r="B256" t="s">
        <v>2</v>
      </c>
      <c r="C256" s="2" t="str">
        <f t="shared" si="9"/>
        <v>Thursday</v>
      </c>
      <c r="D256" s="2">
        <f t="shared" si="10"/>
        <v>14</v>
      </c>
      <c r="E256" s="2" t="str">
        <f t="shared" si="11"/>
        <v>March</v>
      </c>
    </row>
    <row r="257" spans="1:5" x14ac:dyDescent="0.3">
      <c r="A257" s="1">
        <v>42460</v>
      </c>
      <c r="B257" t="s">
        <v>2</v>
      </c>
      <c r="C257" s="2" t="str">
        <f t="shared" si="9"/>
        <v>Thursday</v>
      </c>
      <c r="D257" s="2">
        <f t="shared" si="10"/>
        <v>14</v>
      </c>
      <c r="E257" s="2" t="str">
        <f t="shared" si="11"/>
        <v>March</v>
      </c>
    </row>
    <row r="258" spans="1:5" x14ac:dyDescent="0.3">
      <c r="A258" s="1">
        <v>42460</v>
      </c>
      <c r="B258" t="s">
        <v>8</v>
      </c>
      <c r="C258" s="2" t="str">
        <f t="shared" ref="C258:C263" si="12">TEXT(A258,"dddd")</f>
        <v>Thursday</v>
      </c>
      <c r="D258" s="2">
        <f t="shared" ref="D258:D263" si="13">WEEKNUM(A258,1)</f>
        <v>14</v>
      </c>
      <c r="E258" s="2" t="str">
        <f t="shared" ref="E258:E263" si="14">TEXT(A258,"mmmm")</f>
        <v>March</v>
      </c>
    </row>
    <row r="259" spans="1:5" x14ac:dyDescent="0.3">
      <c r="A259" s="1">
        <v>42460</v>
      </c>
      <c r="B259" t="s">
        <v>8</v>
      </c>
      <c r="C259" s="2" t="str">
        <f t="shared" si="12"/>
        <v>Thursday</v>
      </c>
      <c r="D259" s="2">
        <f t="shared" si="13"/>
        <v>14</v>
      </c>
      <c r="E259" s="2" t="str">
        <f t="shared" si="14"/>
        <v>March</v>
      </c>
    </row>
    <row r="260" spans="1:5" x14ac:dyDescent="0.3">
      <c r="A260" s="1">
        <v>42460</v>
      </c>
      <c r="B260" t="s">
        <v>5</v>
      </c>
      <c r="C260" s="2" t="str">
        <f t="shared" si="12"/>
        <v>Thursday</v>
      </c>
      <c r="D260" s="2">
        <f t="shared" si="13"/>
        <v>14</v>
      </c>
      <c r="E260" s="2" t="str">
        <f t="shared" si="14"/>
        <v>March</v>
      </c>
    </row>
    <row r="261" spans="1:5" x14ac:dyDescent="0.3">
      <c r="A261" s="1">
        <v>42460</v>
      </c>
      <c r="B261" t="s">
        <v>8</v>
      </c>
      <c r="C261" s="2" t="str">
        <f t="shared" si="12"/>
        <v>Thursday</v>
      </c>
      <c r="D261" s="2">
        <f t="shared" si="13"/>
        <v>14</v>
      </c>
      <c r="E261" s="2" t="str">
        <f t="shared" si="14"/>
        <v>March</v>
      </c>
    </row>
    <row r="262" spans="1:5" x14ac:dyDescent="0.3">
      <c r="A262" s="1">
        <v>42460</v>
      </c>
      <c r="B262" t="s">
        <v>8</v>
      </c>
      <c r="C262" s="2" t="str">
        <f t="shared" si="12"/>
        <v>Thursday</v>
      </c>
      <c r="D262" s="2">
        <f t="shared" si="13"/>
        <v>14</v>
      </c>
      <c r="E262" s="2" t="str">
        <f t="shared" si="14"/>
        <v>March</v>
      </c>
    </row>
    <row r="263" spans="1:5" x14ac:dyDescent="0.3">
      <c r="A263" s="1">
        <v>42460</v>
      </c>
      <c r="B263" t="s">
        <v>9</v>
      </c>
      <c r="C263" s="2" t="str">
        <f t="shared" si="12"/>
        <v>Thursday</v>
      </c>
      <c r="D263" s="2">
        <f t="shared" si="13"/>
        <v>14</v>
      </c>
      <c r="E263" s="2" t="str">
        <f t="shared" si="14"/>
        <v>March</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C8F2-FF47-40C5-ADA3-A4D184BD266B}">
  <sheetPr>
    <tabColor rgb="FFFF0000"/>
  </sheetPr>
  <dimension ref="A1"/>
  <sheetViews>
    <sheetView showRowColHeaders="0" tabSelected="1" workbookViewId="0">
      <selection activeCell="M28" sqref="M28"/>
    </sheetView>
  </sheetViews>
  <sheetFormatPr defaultRowHeight="16.5" x14ac:dyDescent="0.3"/>
  <cols>
    <col min="1" max="16384" width="9"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COMPLAINTS 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2025-08-26T09:53:19Z</dcterms:modified>
</cp:coreProperties>
</file>